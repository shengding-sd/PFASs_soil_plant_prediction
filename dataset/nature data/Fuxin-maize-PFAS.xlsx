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Sheet1!$A$1:$BA$358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<sst xmlns="http://schemas.openxmlformats.org/spreadsheetml/2006/main" count="3768" uniqueCount="114">
  <si>
    <t>Reference</t>
  </si>
  <si>
    <t>Sample</t>
  </si>
  <si>
    <t>Soil source</t>
  </si>
  <si>
    <t>PFAS</t>
  </si>
  <si>
    <t>Soil residual concentration</t>
  </si>
  <si>
    <t>pH</t>
  </si>
  <si>
    <t>SOC</t>
  </si>
  <si>
    <t>CEC</t>
  </si>
  <si>
    <t>Sand</t>
  </si>
  <si>
    <t>Silt</t>
  </si>
  <si>
    <t>Clay</t>
  </si>
  <si>
    <t>Species</t>
  </si>
  <si>
    <t>Plant class</t>
  </si>
  <si>
    <t>Tissue</t>
  </si>
  <si>
    <t>Concentration in plant</t>
  </si>
  <si>
    <t>BCF</t>
  </si>
  <si>
    <t>lnBCF</t>
  </si>
  <si>
    <t>ED</t>
  </si>
  <si>
    <t>Family</t>
  </si>
  <si>
    <t>Genus</t>
  </si>
  <si>
    <t>Order</t>
  </si>
  <si>
    <t>monocot</t>
  </si>
  <si>
    <t>woody</t>
  </si>
  <si>
    <t>herb</t>
  </si>
  <si>
    <t>crop</t>
  </si>
  <si>
    <t>vegetable</t>
  </si>
  <si>
    <t>legume</t>
  </si>
  <si>
    <t>grass</t>
  </si>
  <si>
    <t>perennial</t>
  </si>
  <si>
    <t>edible</t>
  </si>
  <si>
    <t>MaxAbsEStateIndex</t>
  </si>
  <si>
    <t>MinAbsEStateIndex</t>
  </si>
  <si>
    <t>qed</t>
  </si>
  <si>
    <t>SPS</t>
  </si>
  <si>
    <t>MaxPartialCharge</t>
  </si>
  <si>
    <t>MinPartialCharge</t>
  </si>
  <si>
    <t>MaxAbsPartialCharge</t>
  </si>
  <si>
    <t>MinAbsPartialCharge</t>
  </si>
  <si>
    <t>BCUT2D_MWLOW</t>
  </si>
  <si>
    <t>BCUT2D_MRLOW</t>
  </si>
  <si>
    <t>HallKierAlpha</t>
  </si>
  <si>
    <t>Ipc</t>
  </si>
  <si>
    <t>Kappa3</t>
  </si>
  <si>
    <t>PEOE_VSA13</t>
  </si>
  <si>
    <t>PEOE_VSA3</t>
  </si>
  <si>
    <t>PEOE_VSA8</t>
  </si>
  <si>
    <t>SMR_VSA4</t>
  </si>
  <si>
    <t>SlogP_VSA12</t>
  </si>
  <si>
    <t>EState_VSA8</t>
  </si>
  <si>
    <t>EState_VSA9</t>
  </si>
  <si>
    <t>VSA_EState7</t>
  </si>
  <si>
    <t>FractionCSP3</t>
  </si>
  <si>
    <t>NHOHCount</t>
  </si>
  <si>
    <t>Fuxin</t>
  </si>
  <si>
    <t>S-P1</t>
  </si>
  <si>
    <t>agricultural soil</t>
  </si>
  <si>
    <t>PFBA</t>
  </si>
  <si>
    <t>maize</t>
  </si>
  <si>
    <t>cereal crops</t>
  </si>
  <si>
    <t>root</t>
  </si>
  <si>
    <t>Poaceae</t>
  </si>
  <si>
    <t>Zea</t>
  </si>
  <si>
    <t>Poales</t>
  </si>
  <si>
    <t>PFBS</t>
  </si>
  <si>
    <t>PFHxA</t>
  </si>
  <si>
    <t>PFHxS</t>
  </si>
  <si>
    <t>PFOA</t>
  </si>
  <si>
    <t>PFOS</t>
  </si>
  <si>
    <t>PFPeA</t>
  </si>
  <si>
    <t>S-P2</t>
  </si>
  <si>
    <t>S-P3</t>
  </si>
  <si>
    <t>S-P4</t>
  </si>
  <si>
    <t>S-P5</t>
  </si>
  <si>
    <t>S-P6</t>
  </si>
  <si>
    <t>S-P7</t>
  </si>
  <si>
    <t>S-P8</t>
  </si>
  <si>
    <t>S-P9</t>
  </si>
  <si>
    <t>S-P10</t>
  </si>
  <si>
    <t>S-P11</t>
  </si>
  <si>
    <t>S-P12</t>
  </si>
  <si>
    <t>S-P13</t>
  </si>
  <si>
    <t>S-P14</t>
  </si>
  <si>
    <t>S-P15</t>
  </si>
  <si>
    <t>S-P16</t>
  </si>
  <si>
    <t>S-P17</t>
  </si>
  <si>
    <t>stem</t>
  </si>
  <si>
    <t>leaf</t>
  </si>
  <si>
    <t>fruit</t>
  </si>
  <si>
    <t>Root%</t>
  </si>
  <si>
    <t>Shoot%</t>
  </si>
  <si>
    <t>leaf%</t>
  </si>
  <si>
    <t>fruit%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</si>
  <si>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</si>
  <si>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</si>
  <si>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</si>
  <si>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</si>
  <si>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</si>
  <si>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</si>
  <si>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</si>
  <si>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</si>
  <si>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</si>
  <si>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</si>
  <si>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</si>
  <si>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</si>
  <si>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</si>
  <si>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</si>
  <si>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</si>
  <si>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</si>
  <si>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</si>
  <si>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PFAS(ng/g)</t>
  </si>
  <si>
    <t>shoot</t>
  </si>
  <si>
    <t>Root</t>
  </si>
  <si>
    <t>Shoot</t>
  </si>
  <si>
    <t>Soil PFAS(ng/g)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</si>
</sst>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A358"/>
  <sheetViews>
    <sheetView tabSelected="1" workbookViewId="0">
      <selection activeCell="L104" sqref="L104"/>
    </sheetView>
  </sheetViews>
  <sheetFormatPr defaultColWidth="9" defaultRowHeight="14"/>
  <cols>
    <col min="5" max="5" width="9.54545454545454"/>
    <col min="7" max="7" width="12.8181818181818"/>
    <col min="15" max="16" width="12.8181818181818"/>
    <col min="17" max="17" width="14"/>
    <col min="31" max="35" width="12.8181818181818"/>
    <col min="36" max="36" width="14"/>
    <col min="37" max="39" width="12.8181818181818"/>
    <col min="40" max="40" width="14"/>
    <col min="42" max="43" width="12.8181818181818"/>
    <col min="45" max="45" width="12.8181818181818"/>
    <col min="50" max="50" width="12.8181818181818"/>
    <col min="51" max="51" width="14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hidden="1" spans="1:53">
      <c r="A2" t="s">
        <v>53</v>
      </c>
      <c r="B2" t="s">
        <v>54</v>
      </c>
      <c r="C2" t="s">
        <v>55</v>
      </c>
      <c r="D2" s="4" t="s">
        <v>56</v>
      </c>
      <c r="E2">
        <v>0.585938</v>
      </c>
      <c r="F2">
        <v>6.7</v>
      </c>
      <c r="G2">
        <v>1</v>
      </c>
      <c r="H2">
        <v>17</v>
      </c>
      <c r="I2">
        <v>44</v>
      </c>
      <c r="J2">
        <v>36</v>
      </c>
      <c r="K2">
        <v>20</v>
      </c>
      <c r="L2" t="s">
        <v>57</v>
      </c>
      <c r="M2" t="s">
        <v>58</v>
      </c>
      <c r="N2" t="s">
        <v>59</v>
      </c>
      <c r="O2">
        <v>0.58671068497</v>
      </c>
      <c r="P2">
        <f>O2/E2</f>
        <v>1.00131871455683</v>
      </c>
      <c r="Q2">
        <f>LN(P2)</f>
        <v>0.00131784581645229</v>
      </c>
      <c r="R2">
        <v>150</v>
      </c>
      <c r="S2" t="s">
        <v>60</v>
      </c>
      <c r="T2" t="s">
        <v>61</v>
      </c>
      <c r="U2" t="s">
        <v>62</v>
      </c>
      <c r="V2">
        <v>1</v>
      </c>
      <c r="W2">
        <v>0</v>
      </c>
      <c r="X2">
        <v>1</v>
      </c>
      <c r="Y2">
        <v>1</v>
      </c>
      <c r="Z2">
        <v>0</v>
      </c>
      <c r="AA2">
        <v>0</v>
      </c>
      <c r="AB2">
        <v>1</v>
      </c>
      <c r="AC2">
        <v>0</v>
      </c>
      <c r="AD2">
        <v>1</v>
      </c>
      <c r="AE2" s="5">
        <v>11.7505787037037</v>
      </c>
      <c r="AF2" s="5">
        <v>3.53256944444444</v>
      </c>
      <c r="AG2" s="5">
        <v>0.712441776552488</v>
      </c>
      <c r="AH2" s="5">
        <v>14.3846153846154</v>
      </c>
      <c r="AI2" s="5">
        <v>0.460094687009651</v>
      </c>
      <c r="AJ2" s="5">
        <v>-0.476625664235965</v>
      </c>
      <c r="AK2" s="5">
        <v>0.476625664235965</v>
      </c>
      <c r="AL2" s="5">
        <v>0.460094687009651</v>
      </c>
      <c r="AM2" s="5">
        <v>10.1473915373546</v>
      </c>
      <c r="AN2" s="5">
        <v>-0.347050241178715</v>
      </c>
      <c r="AO2" s="5">
        <v>-1.02</v>
      </c>
      <c r="AP2" s="5">
        <v>260.658615872357</v>
      </c>
      <c r="AQ2" s="5">
        <v>1.67669845728037</v>
      </c>
      <c r="AR2" s="5">
        <v>0</v>
      </c>
      <c r="AS2" s="5">
        <v>4.79453718407182</v>
      </c>
      <c r="AT2" s="5">
        <v>0</v>
      </c>
      <c r="AU2" s="5">
        <v>0</v>
      </c>
      <c r="AV2" s="5">
        <v>0</v>
      </c>
      <c r="AW2" s="5">
        <v>0</v>
      </c>
      <c r="AX2" s="5">
        <v>5.10652739484071</v>
      </c>
      <c r="AY2" s="5">
        <v>-6.60229166666667</v>
      </c>
      <c r="AZ2" s="5">
        <v>0.75</v>
      </c>
      <c r="BA2" s="5">
        <v>1</v>
      </c>
    </row>
    <row r="3" hidden="1" spans="1:53">
      <c r="A3" t="s">
        <v>53</v>
      </c>
      <c r="B3" t="s">
        <v>54</v>
      </c>
      <c r="C3" t="s">
        <v>55</v>
      </c>
      <c r="D3" s="4" t="s">
        <v>63</v>
      </c>
      <c r="E3">
        <v>0.29297</v>
      </c>
      <c r="F3">
        <v>6.7</v>
      </c>
      <c r="G3">
        <v>1</v>
      </c>
      <c r="H3">
        <v>17</v>
      </c>
      <c r="I3">
        <v>44</v>
      </c>
      <c r="J3">
        <v>36</v>
      </c>
      <c r="K3">
        <v>20</v>
      </c>
      <c r="L3" t="s">
        <v>57</v>
      </c>
      <c r="M3" t="s">
        <v>58</v>
      </c>
      <c r="N3" t="s">
        <v>59</v>
      </c>
      <c r="O3">
        <v>0.38263593569</v>
      </c>
      <c r="P3">
        <f t="shared" ref="P3:P15" si="0">O3/E3</f>
        <v>1.30605842130594</v>
      </c>
      <c r="Q3">
        <f t="shared" ref="Q3:Q66" si="1">LN(P3)</f>
        <v>0.267013762859825</v>
      </c>
      <c r="R3">
        <v>150</v>
      </c>
      <c r="S3" t="s">
        <v>60</v>
      </c>
      <c r="T3" t="s">
        <v>61</v>
      </c>
      <c r="U3" t="s">
        <v>62</v>
      </c>
      <c r="V3">
        <v>1</v>
      </c>
      <c r="W3">
        <v>0</v>
      </c>
      <c r="X3">
        <v>1</v>
      </c>
      <c r="Y3">
        <v>1</v>
      </c>
      <c r="Z3">
        <v>0</v>
      </c>
      <c r="AA3">
        <v>0</v>
      </c>
      <c r="AB3">
        <v>1</v>
      </c>
      <c r="AC3">
        <v>0</v>
      </c>
      <c r="AD3">
        <v>1</v>
      </c>
      <c r="AE3" s="5">
        <v>12.2120833333333</v>
      </c>
      <c r="AF3" s="5">
        <v>7.00097222222222</v>
      </c>
      <c r="AG3" s="5">
        <v>0.642528075697275</v>
      </c>
      <c r="AH3" s="5">
        <v>16.1176470588235</v>
      </c>
      <c r="AI3" s="5">
        <v>0.459694901747447</v>
      </c>
      <c r="AJ3" s="5">
        <v>-0.280752981483328</v>
      </c>
      <c r="AK3" s="5">
        <v>0.459694901747447</v>
      </c>
      <c r="AL3" s="5">
        <v>0.280752981483328</v>
      </c>
      <c r="AM3" s="5">
        <v>10.1452721658031</v>
      </c>
      <c r="AN3" s="5">
        <v>-0.382289160206052</v>
      </c>
      <c r="AO3" s="5">
        <v>-0.72</v>
      </c>
      <c r="AP3" s="5">
        <v>1212.20967645111</v>
      </c>
      <c r="AQ3" s="5">
        <v>2.16502218725737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4.55274987369036</v>
      </c>
      <c r="AY3" s="5">
        <v>-7.13430555555556</v>
      </c>
      <c r="AZ3" s="5">
        <v>1</v>
      </c>
      <c r="BA3" s="5">
        <v>1</v>
      </c>
    </row>
    <row r="4" hidden="1" spans="1:53">
      <c r="A4" t="s">
        <v>53</v>
      </c>
      <c r="B4" t="s">
        <v>54</v>
      </c>
      <c r="C4" t="s">
        <v>55</v>
      </c>
      <c r="D4" s="4" t="s">
        <v>64</v>
      </c>
      <c r="E4">
        <v>0.234380000000001</v>
      </c>
      <c r="F4">
        <v>6.7</v>
      </c>
      <c r="G4">
        <v>1</v>
      </c>
      <c r="H4">
        <v>17</v>
      </c>
      <c r="I4">
        <v>44</v>
      </c>
      <c r="J4">
        <v>36</v>
      </c>
      <c r="K4">
        <v>20</v>
      </c>
      <c r="L4" t="s">
        <v>57</v>
      </c>
      <c r="M4" t="s">
        <v>58</v>
      </c>
      <c r="N4" t="s">
        <v>59</v>
      </c>
      <c r="O4">
        <v>0.2550934366</v>
      </c>
      <c r="P4">
        <f t="shared" si="0"/>
        <v>1.08837544415052</v>
      </c>
      <c r="Q4">
        <f t="shared" si="1"/>
        <v>0.0846861662524858</v>
      </c>
      <c r="R4">
        <v>150</v>
      </c>
      <c r="S4" t="s">
        <v>60</v>
      </c>
      <c r="T4" t="s">
        <v>61</v>
      </c>
      <c r="U4" t="s">
        <v>62</v>
      </c>
      <c r="V4">
        <v>1</v>
      </c>
      <c r="W4">
        <v>0</v>
      </c>
      <c r="X4">
        <v>1</v>
      </c>
      <c r="Y4">
        <v>1</v>
      </c>
      <c r="Z4">
        <v>0</v>
      </c>
      <c r="AA4">
        <v>0</v>
      </c>
      <c r="AB4">
        <v>1</v>
      </c>
      <c r="AC4">
        <v>0</v>
      </c>
      <c r="AD4">
        <v>1</v>
      </c>
      <c r="AE4" s="5">
        <v>12.3952083333333</v>
      </c>
      <c r="AF4" s="5">
        <v>3.99060232426304</v>
      </c>
      <c r="AG4" s="5">
        <v>0.809418673219238</v>
      </c>
      <c r="AH4" s="5">
        <v>15.5263157894737</v>
      </c>
      <c r="AI4" s="5">
        <v>0.459647654411774</v>
      </c>
      <c r="AJ4" s="5">
        <v>-0.476627457257861</v>
      </c>
      <c r="AK4" s="5">
        <v>0.476627457257861</v>
      </c>
      <c r="AL4" s="5">
        <v>0.459647654411774</v>
      </c>
      <c r="AM4" s="5">
        <v>9.98060231888395</v>
      </c>
      <c r="AN4" s="5">
        <v>-0.417658943556199</v>
      </c>
      <c r="AO4" s="5">
        <v>-1.3</v>
      </c>
      <c r="AP4" s="5">
        <v>3314.44680161703</v>
      </c>
      <c r="AQ4" s="5">
        <v>2.17852386673025</v>
      </c>
      <c r="AR4" s="5">
        <v>0</v>
      </c>
      <c r="AS4" s="5">
        <v>4.79453718407182</v>
      </c>
      <c r="AT4" s="5">
        <v>0</v>
      </c>
      <c r="AU4" s="5">
        <v>0</v>
      </c>
      <c r="AV4" s="5">
        <v>0</v>
      </c>
      <c r="AW4" s="5">
        <v>0</v>
      </c>
      <c r="AX4" s="5">
        <v>5.10652739484071</v>
      </c>
      <c r="AY4" s="5">
        <v>-7.29710978835979</v>
      </c>
      <c r="AZ4" s="5">
        <v>0.833333333333333</v>
      </c>
      <c r="BA4" s="5">
        <v>1</v>
      </c>
    </row>
    <row r="5" hidden="1" spans="1:53">
      <c r="A5" t="s">
        <v>53</v>
      </c>
      <c r="B5" t="s">
        <v>54</v>
      </c>
      <c r="C5" t="s">
        <v>55</v>
      </c>
      <c r="D5" s="4" t="s">
        <v>65</v>
      </c>
      <c r="E5">
        <v>0.97265</v>
      </c>
      <c r="F5">
        <v>6.7</v>
      </c>
      <c r="G5">
        <v>1</v>
      </c>
      <c r="H5">
        <v>17</v>
      </c>
      <c r="I5">
        <v>44</v>
      </c>
      <c r="J5">
        <v>36</v>
      </c>
      <c r="K5">
        <v>20</v>
      </c>
      <c r="L5" t="s">
        <v>57</v>
      </c>
      <c r="M5" t="s">
        <v>58</v>
      </c>
      <c r="N5" t="s">
        <v>59</v>
      </c>
      <c r="O5">
        <v>0.1887674554</v>
      </c>
      <c r="P5">
        <f t="shared" si="0"/>
        <v>0.194075418084614</v>
      </c>
      <c r="Q5">
        <f t="shared" si="1"/>
        <v>-1.63950844245021</v>
      </c>
      <c r="R5">
        <v>150</v>
      </c>
      <c r="S5" t="s">
        <v>60</v>
      </c>
      <c r="T5" t="s">
        <v>61</v>
      </c>
      <c r="U5" t="s">
        <v>62</v>
      </c>
      <c r="V5">
        <v>1</v>
      </c>
      <c r="W5">
        <v>0</v>
      </c>
      <c r="X5">
        <v>1</v>
      </c>
      <c r="Y5">
        <v>1</v>
      </c>
      <c r="Z5">
        <v>0</v>
      </c>
      <c r="AA5">
        <v>0</v>
      </c>
      <c r="AB5">
        <v>1</v>
      </c>
      <c r="AC5">
        <v>0</v>
      </c>
      <c r="AD5">
        <v>1</v>
      </c>
      <c r="AE5" s="5">
        <v>12.6956944444444</v>
      </c>
      <c r="AF5" s="5">
        <v>7.51923752834467</v>
      </c>
      <c r="AG5" s="5">
        <v>0.567423483996869</v>
      </c>
      <c r="AH5" s="5">
        <v>16.6086956521739</v>
      </c>
      <c r="AI5" s="5">
        <v>0.459647303367286</v>
      </c>
      <c r="AJ5" s="5">
        <v>-0.280752999575136</v>
      </c>
      <c r="AK5" s="5">
        <v>0.459647303367286</v>
      </c>
      <c r="AL5" s="5">
        <v>0.280752999575136</v>
      </c>
      <c r="AM5" s="5">
        <v>9.97962409166519</v>
      </c>
      <c r="AN5" s="5">
        <v>-0.433260944725331</v>
      </c>
      <c r="AO5" s="5">
        <v>-1</v>
      </c>
      <c r="AP5" s="5">
        <v>14934.5346948423</v>
      </c>
      <c r="AQ5" s="5">
        <v>2.69882520469918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4.55274987369036</v>
      </c>
      <c r="AY5" s="5">
        <v>-7.5938637329932</v>
      </c>
      <c r="AZ5" s="5">
        <v>1</v>
      </c>
      <c r="BA5" s="5">
        <v>1</v>
      </c>
    </row>
    <row r="6" hidden="1" spans="1:53">
      <c r="A6" t="s">
        <v>53</v>
      </c>
      <c r="B6" t="s">
        <v>54</v>
      </c>
      <c r="C6" t="s">
        <v>55</v>
      </c>
      <c r="D6" s="4" t="s">
        <v>66</v>
      </c>
      <c r="E6">
        <v>1.23047</v>
      </c>
      <c r="F6">
        <v>6.7</v>
      </c>
      <c r="G6">
        <v>1</v>
      </c>
      <c r="H6">
        <v>17</v>
      </c>
      <c r="I6">
        <v>44</v>
      </c>
      <c r="J6">
        <v>36</v>
      </c>
      <c r="K6">
        <v>20</v>
      </c>
      <c r="L6" t="s">
        <v>57</v>
      </c>
      <c r="M6" t="s">
        <v>58</v>
      </c>
      <c r="N6" t="s">
        <v>59</v>
      </c>
      <c r="O6">
        <v>0.73976252772</v>
      </c>
      <c r="P6">
        <f t="shared" si="0"/>
        <v>0.60120322130568</v>
      </c>
      <c r="Q6">
        <f t="shared" si="1"/>
        <v>-0.508822262991126</v>
      </c>
      <c r="R6">
        <v>150</v>
      </c>
      <c r="S6" t="s">
        <v>60</v>
      </c>
      <c r="T6" t="s">
        <v>61</v>
      </c>
      <c r="U6" t="s">
        <v>62</v>
      </c>
      <c r="V6">
        <v>1</v>
      </c>
      <c r="W6">
        <v>0</v>
      </c>
      <c r="X6">
        <v>1</v>
      </c>
      <c r="Y6">
        <v>1</v>
      </c>
      <c r="Z6">
        <v>0</v>
      </c>
      <c r="AA6">
        <v>0</v>
      </c>
      <c r="AB6">
        <v>1</v>
      </c>
      <c r="AC6">
        <v>0</v>
      </c>
      <c r="AD6">
        <v>1</v>
      </c>
      <c r="AE6" s="5">
        <v>12.8254166666667</v>
      </c>
      <c r="AF6" s="5">
        <v>4.27882137345679</v>
      </c>
      <c r="AG6" s="5">
        <v>0.653062667189842</v>
      </c>
      <c r="AH6" s="5">
        <v>16.12</v>
      </c>
      <c r="AI6" s="5">
        <v>0.459647294455008</v>
      </c>
      <c r="AJ6" s="5">
        <v>-0.47662745733429</v>
      </c>
      <c r="AK6" s="5">
        <v>0.47662745733429</v>
      </c>
      <c r="AL6" s="5">
        <v>0.459647294455008</v>
      </c>
      <c r="AM6" s="5">
        <v>9.90907137329749</v>
      </c>
      <c r="AN6" s="5">
        <v>-0.449718247791216</v>
      </c>
      <c r="AO6" s="5">
        <v>-1.58</v>
      </c>
      <c r="AP6" s="5">
        <v>39741.8973369129</v>
      </c>
      <c r="AQ6" s="5">
        <v>2.73920148528388</v>
      </c>
      <c r="AR6" s="5">
        <v>0</v>
      </c>
      <c r="AS6" s="5">
        <v>4.79453718407182</v>
      </c>
      <c r="AT6" s="5">
        <v>0</v>
      </c>
      <c r="AU6" s="5">
        <v>0</v>
      </c>
      <c r="AV6" s="5">
        <v>0</v>
      </c>
      <c r="AW6" s="5">
        <v>0</v>
      </c>
      <c r="AX6" s="5">
        <v>5.10652739484071</v>
      </c>
      <c r="AY6" s="5">
        <v>-7.69383775037793</v>
      </c>
      <c r="AZ6" s="5">
        <v>0.875</v>
      </c>
      <c r="BA6" s="5">
        <v>1</v>
      </c>
    </row>
    <row r="7" hidden="1" spans="1:53">
      <c r="A7" t="s">
        <v>53</v>
      </c>
      <c r="B7" t="s">
        <v>54</v>
      </c>
      <c r="C7" t="s">
        <v>55</v>
      </c>
      <c r="D7" s="4" t="s">
        <v>67</v>
      </c>
      <c r="E7">
        <v>0.585939999999999</v>
      </c>
      <c r="F7">
        <v>6.7</v>
      </c>
      <c r="G7">
        <v>1</v>
      </c>
      <c r="H7">
        <v>17</v>
      </c>
      <c r="I7">
        <v>44</v>
      </c>
      <c r="J7">
        <v>36</v>
      </c>
      <c r="K7">
        <v>20</v>
      </c>
      <c r="L7" t="s">
        <v>57</v>
      </c>
      <c r="M7" t="s">
        <v>58</v>
      </c>
      <c r="N7" t="s">
        <v>59</v>
      </c>
      <c r="O7">
        <v>1.26525247559</v>
      </c>
      <c r="P7">
        <f t="shared" si="0"/>
        <v>2.15935501175889</v>
      </c>
      <c r="Q7">
        <f t="shared" si="1"/>
        <v>0.769809571437342</v>
      </c>
      <c r="R7">
        <v>150</v>
      </c>
      <c r="S7" t="s">
        <v>60</v>
      </c>
      <c r="T7" t="s">
        <v>61</v>
      </c>
      <c r="U7" t="s">
        <v>62</v>
      </c>
      <c r="V7">
        <v>1</v>
      </c>
      <c r="W7">
        <v>0</v>
      </c>
      <c r="X7">
        <v>1</v>
      </c>
      <c r="Y7">
        <v>1</v>
      </c>
      <c r="Z7">
        <v>0</v>
      </c>
      <c r="AA7">
        <v>0</v>
      </c>
      <c r="AB7">
        <v>1</v>
      </c>
      <c r="AC7">
        <v>0</v>
      </c>
      <c r="AD7">
        <v>1</v>
      </c>
      <c r="AE7" s="5">
        <v>13.0371419123205</v>
      </c>
      <c r="AF7" s="5">
        <v>7.66829457707096</v>
      </c>
      <c r="AG7" s="5">
        <v>0.402493807679921</v>
      </c>
      <c r="AH7" s="5">
        <v>16.8965517241379</v>
      </c>
      <c r="AI7" s="5">
        <v>0.459647294440031</v>
      </c>
      <c r="AJ7" s="5">
        <v>-0.280752999575314</v>
      </c>
      <c r="AK7" s="5">
        <v>0.459647294440031</v>
      </c>
      <c r="AL7" s="5">
        <v>0.280752999575314</v>
      </c>
      <c r="AM7" s="5">
        <v>9.90856544965598</v>
      </c>
      <c r="AN7" s="5">
        <v>-0.457885273814649</v>
      </c>
      <c r="AO7" s="5">
        <v>-1.28</v>
      </c>
      <c r="AP7" s="5">
        <v>176558.643253875</v>
      </c>
      <c r="AQ7" s="5">
        <v>3.26474212239717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4.55274987369036</v>
      </c>
      <c r="AY7" s="5">
        <v>-7.88274914441085</v>
      </c>
      <c r="AZ7" s="5">
        <v>1</v>
      </c>
      <c r="BA7" s="5">
        <v>1</v>
      </c>
    </row>
    <row r="8" hidden="1" spans="1:53">
      <c r="A8" t="s">
        <v>53</v>
      </c>
      <c r="B8" t="s">
        <v>54</v>
      </c>
      <c r="C8" t="s">
        <v>55</v>
      </c>
      <c r="D8" s="4" t="s">
        <v>68</v>
      </c>
      <c r="E8">
        <v>0.46875</v>
      </c>
      <c r="F8">
        <v>6.7</v>
      </c>
      <c r="G8">
        <v>1</v>
      </c>
      <c r="H8">
        <v>17</v>
      </c>
      <c r="I8">
        <v>44</v>
      </c>
      <c r="J8">
        <v>36</v>
      </c>
      <c r="K8">
        <v>20</v>
      </c>
      <c r="L8" t="s">
        <v>57</v>
      </c>
      <c r="M8" t="s">
        <v>58</v>
      </c>
      <c r="N8" t="s">
        <v>59</v>
      </c>
      <c r="O8">
        <v>0.80098748403</v>
      </c>
      <c r="P8">
        <f t="shared" si="0"/>
        <v>1.708773299264</v>
      </c>
      <c r="Q8">
        <f t="shared" si="1"/>
        <v>0.535775744230949</v>
      </c>
      <c r="R8">
        <v>150</v>
      </c>
      <c r="S8" t="s">
        <v>60</v>
      </c>
      <c r="T8" t="s">
        <v>61</v>
      </c>
      <c r="U8" t="s">
        <v>62</v>
      </c>
      <c r="V8">
        <v>1</v>
      </c>
      <c r="W8">
        <v>0</v>
      </c>
      <c r="X8">
        <v>1</v>
      </c>
      <c r="Y8">
        <v>1</v>
      </c>
      <c r="Z8">
        <v>0</v>
      </c>
      <c r="AA8">
        <v>0</v>
      </c>
      <c r="AB8">
        <v>1</v>
      </c>
      <c r="AC8">
        <v>0</v>
      </c>
      <c r="AD8">
        <v>1</v>
      </c>
      <c r="AE8" s="5">
        <v>12.1252083333333</v>
      </c>
      <c r="AF8" s="5">
        <v>3.79034722222222</v>
      </c>
      <c r="AG8" s="5">
        <v>0.795108310685598</v>
      </c>
      <c r="AH8" s="5">
        <v>15.0625</v>
      </c>
      <c r="AI8" s="5">
        <v>0.459665733935349</v>
      </c>
      <c r="AJ8" s="5">
        <v>-0.476627440416371</v>
      </c>
      <c r="AK8" s="5">
        <v>0.476627440416371</v>
      </c>
      <c r="AL8" s="5">
        <v>0.459665733935349</v>
      </c>
      <c r="AM8" s="5">
        <v>10.044436145131</v>
      </c>
      <c r="AN8" s="5">
        <v>-0.389909625311938</v>
      </c>
      <c r="AO8" s="5">
        <v>-1.16</v>
      </c>
      <c r="AP8" s="5">
        <v>939.726830541714</v>
      </c>
      <c r="AQ8" s="5">
        <v>1.77550667912426</v>
      </c>
      <c r="AR8" s="5">
        <v>0</v>
      </c>
      <c r="AS8" s="5">
        <v>4.79453718407182</v>
      </c>
      <c r="AT8" s="5">
        <v>0</v>
      </c>
      <c r="AU8" s="5">
        <v>0</v>
      </c>
      <c r="AV8" s="5">
        <v>0</v>
      </c>
      <c r="AW8" s="5">
        <v>0</v>
      </c>
      <c r="AX8" s="5">
        <v>5.10652739484071</v>
      </c>
      <c r="AY8" s="5">
        <v>-7.00458333333333</v>
      </c>
      <c r="AZ8" s="5">
        <v>0.8</v>
      </c>
      <c r="BA8" s="5">
        <v>1</v>
      </c>
    </row>
    <row r="9" hidden="1" spans="1:53">
      <c r="A9" t="s">
        <v>53</v>
      </c>
      <c r="B9" t="s">
        <v>69</v>
      </c>
      <c r="C9" t="s">
        <v>55</v>
      </c>
      <c r="D9" s="4" t="s">
        <v>56</v>
      </c>
      <c r="E9">
        <v>0.269531</v>
      </c>
      <c r="F9">
        <v>6.7</v>
      </c>
      <c r="G9">
        <v>1</v>
      </c>
      <c r="H9">
        <v>17</v>
      </c>
      <c r="I9">
        <v>44</v>
      </c>
      <c r="J9">
        <v>36</v>
      </c>
      <c r="K9">
        <v>20</v>
      </c>
      <c r="L9" t="s">
        <v>57</v>
      </c>
      <c r="M9" t="s">
        <v>58</v>
      </c>
      <c r="N9" t="s">
        <v>59</v>
      </c>
      <c r="O9">
        <v>1.09946717244</v>
      </c>
      <c r="P9">
        <f t="shared" si="0"/>
        <v>4.07918633641399</v>
      </c>
      <c r="Q9">
        <f t="shared" si="1"/>
        <v>1.40589754117828</v>
      </c>
      <c r="R9">
        <v>150</v>
      </c>
      <c r="S9" t="s">
        <v>60</v>
      </c>
      <c r="T9" t="s">
        <v>61</v>
      </c>
      <c r="U9" t="s">
        <v>62</v>
      </c>
      <c r="V9">
        <v>1</v>
      </c>
      <c r="W9">
        <v>0</v>
      </c>
      <c r="X9">
        <v>1</v>
      </c>
      <c r="Y9">
        <v>1</v>
      </c>
      <c r="Z9">
        <v>0</v>
      </c>
      <c r="AA9">
        <v>0</v>
      </c>
      <c r="AB9">
        <v>1</v>
      </c>
      <c r="AC9">
        <v>0</v>
      </c>
      <c r="AD9">
        <v>1</v>
      </c>
      <c r="AE9" s="5">
        <v>11.7505787037037</v>
      </c>
      <c r="AF9" s="5">
        <v>3.53256944444444</v>
      </c>
      <c r="AG9" s="5">
        <v>0.712441776552488</v>
      </c>
      <c r="AH9" s="5">
        <v>14.3846153846154</v>
      </c>
      <c r="AI9" s="5">
        <v>0.460094687009651</v>
      </c>
      <c r="AJ9" s="5">
        <v>-0.476625664235965</v>
      </c>
      <c r="AK9" s="5">
        <v>0.476625664235965</v>
      </c>
      <c r="AL9" s="5">
        <v>0.460094687009651</v>
      </c>
      <c r="AM9" s="5">
        <v>10.1473915373546</v>
      </c>
      <c r="AN9" s="5">
        <v>-0.347050241178715</v>
      </c>
      <c r="AO9" s="5">
        <v>-1.02</v>
      </c>
      <c r="AP9" s="5">
        <v>260.658615872357</v>
      </c>
      <c r="AQ9" s="5">
        <v>1.67669845728037</v>
      </c>
      <c r="AR9" s="5">
        <v>0</v>
      </c>
      <c r="AS9" s="5">
        <v>4.79453718407182</v>
      </c>
      <c r="AT9" s="5">
        <v>0</v>
      </c>
      <c r="AU9" s="5">
        <v>0</v>
      </c>
      <c r="AV9" s="5">
        <v>0</v>
      </c>
      <c r="AW9" s="5">
        <v>0</v>
      </c>
      <c r="AX9" s="5">
        <v>5.10652739484071</v>
      </c>
      <c r="AY9" s="5">
        <v>-6.60229166666667</v>
      </c>
      <c r="AZ9" s="5">
        <v>0.75</v>
      </c>
      <c r="BA9" s="5">
        <v>1</v>
      </c>
    </row>
    <row r="10" hidden="1" spans="1:53">
      <c r="A10" t="s">
        <v>53</v>
      </c>
      <c r="B10" t="s">
        <v>69</v>
      </c>
      <c r="C10" t="s">
        <v>55</v>
      </c>
      <c r="D10" s="4" t="s">
        <v>63</v>
      </c>
      <c r="E10">
        <v>1.429689</v>
      </c>
      <c r="F10">
        <v>6.7</v>
      </c>
      <c r="G10">
        <v>1</v>
      </c>
      <c r="H10">
        <v>17</v>
      </c>
      <c r="I10">
        <v>44</v>
      </c>
      <c r="J10">
        <v>36</v>
      </c>
      <c r="K10">
        <v>20</v>
      </c>
      <c r="L10" t="s">
        <v>57</v>
      </c>
      <c r="M10" t="s">
        <v>58</v>
      </c>
      <c r="N10" t="s">
        <v>59</v>
      </c>
      <c r="O10">
        <v>0.34860991977</v>
      </c>
      <c r="P10">
        <f t="shared" si="0"/>
        <v>0.243836190786947</v>
      </c>
      <c r="Q10">
        <f t="shared" si="1"/>
        <v>-1.41125862837857</v>
      </c>
      <c r="R10">
        <v>150</v>
      </c>
      <c r="S10" t="s">
        <v>60</v>
      </c>
      <c r="T10" t="s">
        <v>61</v>
      </c>
      <c r="U10" t="s">
        <v>62</v>
      </c>
      <c r="V10">
        <v>1</v>
      </c>
      <c r="W10">
        <v>0</v>
      </c>
      <c r="X10">
        <v>1</v>
      </c>
      <c r="Y10">
        <v>1</v>
      </c>
      <c r="Z10">
        <v>0</v>
      </c>
      <c r="AA10">
        <v>0</v>
      </c>
      <c r="AB10">
        <v>1</v>
      </c>
      <c r="AC10">
        <v>0</v>
      </c>
      <c r="AD10">
        <v>1</v>
      </c>
      <c r="AE10" s="5">
        <v>12.2120833333333</v>
      </c>
      <c r="AF10" s="5">
        <v>7.00097222222222</v>
      </c>
      <c r="AG10" s="5">
        <v>0.642528075697275</v>
      </c>
      <c r="AH10" s="5">
        <v>16.1176470588235</v>
      </c>
      <c r="AI10" s="5">
        <v>0.459694901747447</v>
      </c>
      <c r="AJ10" s="5">
        <v>-0.280752981483328</v>
      </c>
      <c r="AK10" s="5">
        <v>0.459694901747447</v>
      </c>
      <c r="AL10" s="5">
        <v>0.280752981483328</v>
      </c>
      <c r="AM10" s="5">
        <v>10.1452721658031</v>
      </c>
      <c r="AN10" s="5">
        <v>-0.382289160206052</v>
      </c>
      <c r="AO10" s="5">
        <v>-0.72</v>
      </c>
      <c r="AP10" s="5">
        <v>1212.20967645111</v>
      </c>
      <c r="AQ10" s="5">
        <v>2.16502218725737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4.55274987369036</v>
      </c>
      <c r="AY10" s="5">
        <v>-7.13430555555556</v>
      </c>
      <c r="AZ10" s="5">
        <v>1</v>
      </c>
      <c r="BA10" s="5">
        <v>1</v>
      </c>
    </row>
    <row r="11" hidden="1" spans="1:53">
      <c r="A11" t="s">
        <v>53</v>
      </c>
      <c r="B11" t="s">
        <v>69</v>
      </c>
      <c r="C11" t="s">
        <v>55</v>
      </c>
      <c r="D11" s="4" t="s">
        <v>64</v>
      </c>
      <c r="E11">
        <v>0.29297</v>
      </c>
      <c r="F11">
        <v>6.7</v>
      </c>
      <c r="G11">
        <v>1</v>
      </c>
      <c r="H11">
        <v>17</v>
      </c>
      <c r="I11">
        <v>44</v>
      </c>
      <c r="J11">
        <v>36</v>
      </c>
      <c r="K11">
        <v>20</v>
      </c>
      <c r="L11" t="s">
        <v>57</v>
      </c>
      <c r="M11" t="s">
        <v>58</v>
      </c>
      <c r="N11" t="s">
        <v>59</v>
      </c>
      <c r="O11">
        <v>0.17162375454</v>
      </c>
      <c r="P11">
        <f t="shared" si="0"/>
        <v>0.58580658272178</v>
      </c>
      <c r="Q11">
        <f t="shared" si="1"/>
        <v>-0.534765607502817</v>
      </c>
      <c r="R11">
        <v>150</v>
      </c>
      <c r="S11" t="s">
        <v>60</v>
      </c>
      <c r="T11" t="s">
        <v>61</v>
      </c>
      <c r="U11" t="s">
        <v>62</v>
      </c>
      <c r="V11">
        <v>1</v>
      </c>
      <c r="W11">
        <v>0</v>
      </c>
      <c r="X11">
        <v>1</v>
      </c>
      <c r="Y11">
        <v>1</v>
      </c>
      <c r="Z11">
        <v>0</v>
      </c>
      <c r="AA11">
        <v>0</v>
      </c>
      <c r="AB11">
        <v>1</v>
      </c>
      <c r="AC11">
        <v>0</v>
      </c>
      <c r="AD11">
        <v>1</v>
      </c>
      <c r="AE11" s="5">
        <v>12.3952083333333</v>
      </c>
      <c r="AF11" s="5">
        <v>3.99060232426304</v>
      </c>
      <c r="AG11" s="5">
        <v>0.809418673219238</v>
      </c>
      <c r="AH11" s="5">
        <v>15.5263157894737</v>
      </c>
      <c r="AI11" s="5">
        <v>0.459647654411774</v>
      </c>
      <c r="AJ11" s="5">
        <v>-0.476627457257861</v>
      </c>
      <c r="AK11" s="5">
        <v>0.476627457257861</v>
      </c>
      <c r="AL11" s="5">
        <v>0.459647654411774</v>
      </c>
      <c r="AM11" s="5">
        <v>9.98060231888395</v>
      </c>
      <c r="AN11" s="5">
        <v>-0.417658943556199</v>
      </c>
      <c r="AO11" s="5">
        <v>-1.3</v>
      </c>
      <c r="AP11" s="5">
        <v>3314.44680161703</v>
      </c>
      <c r="AQ11" s="5">
        <v>2.17852386673025</v>
      </c>
      <c r="AR11" s="5">
        <v>0</v>
      </c>
      <c r="AS11" s="5">
        <v>4.79453718407182</v>
      </c>
      <c r="AT11" s="5">
        <v>0</v>
      </c>
      <c r="AU11" s="5">
        <v>0</v>
      </c>
      <c r="AV11" s="5">
        <v>0</v>
      </c>
      <c r="AW11" s="5">
        <v>0</v>
      </c>
      <c r="AX11" s="5">
        <v>5.10652739484071</v>
      </c>
      <c r="AY11" s="5">
        <v>-7.29710978835979</v>
      </c>
      <c r="AZ11" s="5">
        <v>0.833333333333333</v>
      </c>
      <c r="BA11" s="5">
        <v>1</v>
      </c>
    </row>
    <row r="12" hidden="1" spans="1:53">
      <c r="A12" t="s">
        <v>53</v>
      </c>
      <c r="B12" t="s">
        <v>69</v>
      </c>
      <c r="C12" t="s">
        <v>55</v>
      </c>
      <c r="D12" s="4" t="s">
        <v>65</v>
      </c>
      <c r="E12">
        <v>0.43359</v>
      </c>
      <c r="F12">
        <v>6.7</v>
      </c>
      <c r="G12">
        <v>1</v>
      </c>
      <c r="H12">
        <v>17</v>
      </c>
      <c r="I12">
        <v>44</v>
      </c>
      <c r="J12">
        <v>36</v>
      </c>
      <c r="K12">
        <v>20</v>
      </c>
      <c r="L12" t="s">
        <v>57</v>
      </c>
      <c r="M12" t="s">
        <v>58</v>
      </c>
      <c r="N12" t="s">
        <v>59</v>
      </c>
      <c r="O12">
        <v>0.18771542202</v>
      </c>
      <c r="P12">
        <f t="shared" si="0"/>
        <v>0.432933005881132</v>
      </c>
      <c r="Q12">
        <f t="shared" si="1"/>
        <v>-0.837172283778944</v>
      </c>
      <c r="R12">
        <v>150</v>
      </c>
      <c r="S12" t="s">
        <v>60</v>
      </c>
      <c r="T12" t="s">
        <v>61</v>
      </c>
      <c r="U12" t="s">
        <v>62</v>
      </c>
      <c r="V12">
        <v>1</v>
      </c>
      <c r="W12">
        <v>0</v>
      </c>
      <c r="X12">
        <v>1</v>
      </c>
      <c r="Y12">
        <v>1</v>
      </c>
      <c r="Z12">
        <v>0</v>
      </c>
      <c r="AA12">
        <v>0</v>
      </c>
      <c r="AB12">
        <v>1</v>
      </c>
      <c r="AC12">
        <v>0</v>
      </c>
      <c r="AD12">
        <v>1</v>
      </c>
      <c r="AE12" s="5">
        <v>12.6956944444444</v>
      </c>
      <c r="AF12" s="5">
        <v>7.51923752834467</v>
      </c>
      <c r="AG12" s="5">
        <v>0.567423483996869</v>
      </c>
      <c r="AH12" s="5">
        <v>16.6086956521739</v>
      </c>
      <c r="AI12" s="5">
        <v>0.459647303367286</v>
      </c>
      <c r="AJ12" s="5">
        <v>-0.280752999575136</v>
      </c>
      <c r="AK12" s="5">
        <v>0.459647303367286</v>
      </c>
      <c r="AL12" s="5">
        <v>0.280752999575136</v>
      </c>
      <c r="AM12" s="5">
        <v>9.97962409166519</v>
      </c>
      <c r="AN12" s="5">
        <v>-0.433260944725331</v>
      </c>
      <c r="AO12" s="5">
        <v>-1</v>
      </c>
      <c r="AP12" s="5">
        <v>14934.5346948423</v>
      </c>
      <c r="AQ12" s="5">
        <v>2.69882520469918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4.55274987369036</v>
      </c>
      <c r="AY12" s="5">
        <v>-7.5938637329932</v>
      </c>
      <c r="AZ12" s="5">
        <v>1</v>
      </c>
      <c r="BA12" s="5">
        <v>1</v>
      </c>
    </row>
    <row r="13" hidden="1" spans="1:53">
      <c r="A13" t="s">
        <v>53</v>
      </c>
      <c r="B13" t="s">
        <v>69</v>
      </c>
      <c r="C13" t="s">
        <v>55</v>
      </c>
      <c r="D13" s="4" t="s">
        <v>66</v>
      </c>
      <c r="E13">
        <v>0.5625</v>
      </c>
      <c r="F13">
        <v>6.7</v>
      </c>
      <c r="G13">
        <v>1</v>
      </c>
      <c r="H13">
        <v>17</v>
      </c>
      <c r="I13">
        <v>44</v>
      </c>
      <c r="J13">
        <v>36</v>
      </c>
      <c r="K13">
        <v>20</v>
      </c>
      <c r="L13" t="s">
        <v>57</v>
      </c>
      <c r="M13" t="s">
        <v>58</v>
      </c>
      <c r="N13" t="s">
        <v>59</v>
      </c>
      <c r="O13">
        <v>0.71331150702</v>
      </c>
      <c r="P13">
        <f t="shared" si="0"/>
        <v>1.26810934581333</v>
      </c>
      <c r="Q13">
        <f t="shared" si="1"/>
        <v>0.237527087165581</v>
      </c>
      <c r="R13">
        <v>150</v>
      </c>
      <c r="S13" t="s">
        <v>60</v>
      </c>
      <c r="T13" t="s">
        <v>61</v>
      </c>
      <c r="U13" t="s">
        <v>62</v>
      </c>
      <c r="V13">
        <v>1</v>
      </c>
      <c r="W13">
        <v>0</v>
      </c>
      <c r="X13">
        <v>1</v>
      </c>
      <c r="Y13">
        <v>1</v>
      </c>
      <c r="Z13">
        <v>0</v>
      </c>
      <c r="AA13">
        <v>0</v>
      </c>
      <c r="AB13">
        <v>1</v>
      </c>
      <c r="AC13">
        <v>0</v>
      </c>
      <c r="AD13">
        <v>1</v>
      </c>
      <c r="AE13" s="5">
        <v>12.8254166666667</v>
      </c>
      <c r="AF13" s="5">
        <v>4.27882137345679</v>
      </c>
      <c r="AG13" s="5">
        <v>0.653062667189842</v>
      </c>
      <c r="AH13" s="5">
        <v>16.12</v>
      </c>
      <c r="AI13" s="5">
        <v>0.459647294455008</v>
      </c>
      <c r="AJ13" s="5">
        <v>-0.47662745733429</v>
      </c>
      <c r="AK13" s="5">
        <v>0.47662745733429</v>
      </c>
      <c r="AL13" s="5">
        <v>0.459647294455008</v>
      </c>
      <c r="AM13" s="5">
        <v>9.90907137329749</v>
      </c>
      <c r="AN13" s="5">
        <v>-0.449718247791216</v>
      </c>
      <c r="AO13" s="5">
        <v>-1.58</v>
      </c>
      <c r="AP13" s="5">
        <v>39741.8973369129</v>
      </c>
      <c r="AQ13" s="5">
        <v>2.73920148528388</v>
      </c>
      <c r="AR13" s="5">
        <v>0</v>
      </c>
      <c r="AS13" s="5">
        <v>4.79453718407182</v>
      </c>
      <c r="AT13" s="5">
        <v>0</v>
      </c>
      <c r="AU13" s="5">
        <v>0</v>
      </c>
      <c r="AV13" s="5">
        <v>0</v>
      </c>
      <c r="AW13" s="5">
        <v>0</v>
      </c>
      <c r="AX13" s="5">
        <v>5.10652739484071</v>
      </c>
      <c r="AY13" s="5">
        <v>-7.69383775037793</v>
      </c>
      <c r="AZ13" s="5">
        <v>0.875</v>
      </c>
      <c r="BA13" s="5">
        <v>1</v>
      </c>
    </row>
    <row r="14" hidden="1" spans="1:53">
      <c r="A14" t="s">
        <v>53</v>
      </c>
      <c r="B14" t="s">
        <v>69</v>
      </c>
      <c r="C14" t="s">
        <v>55</v>
      </c>
      <c r="D14" s="4" t="s">
        <v>67</v>
      </c>
      <c r="E14">
        <v>0.25781</v>
      </c>
      <c r="F14">
        <v>6.7</v>
      </c>
      <c r="G14">
        <v>1</v>
      </c>
      <c r="H14">
        <v>17</v>
      </c>
      <c r="I14">
        <v>44</v>
      </c>
      <c r="J14">
        <v>36</v>
      </c>
      <c r="K14">
        <v>20</v>
      </c>
      <c r="L14" t="s">
        <v>57</v>
      </c>
      <c r="M14" t="s">
        <v>58</v>
      </c>
      <c r="N14" t="s">
        <v>59</v>
      </c>
      <c r="O14">
        <v>1.11019642923</v>
      </c>
      <c r="P14">
        <f t="shared" si="0"/>
        <v>4.30625821042628</v>
      </c>
      <c r="Q14">
        <f t="shared" si="1"/>
        <v>1.46006936240821</v>
      </c>
      <c r="R14">
        <v>150</v>
      </c>
      <c r="S14" t="s">
        <v>60</v>
      </c>
      <c r="T14" t="s">
        <v>61</v>
      </c>
      <c r="U14" t="s">
        <v>62</v>
      </c>
      <c r="V14">
        <v>1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0</v>
      </c>
      <c r="AD14">
        <v>1</v>
      </c>
      <c r="AE14" s="5">
        <v>13.0371419123205</v>
      </c>
      <c r="AF14" s="5">
        <v>7.66829457707096</v>
      </c>
      <c r="AG14" s="5">
        <v>0.402493807679921</v>
      </c>
      <c r="AH14" s="5">
        <v>16.8965517241379</v>
      </c>
      <c r="AI14" s="5">
        <v>0.459647294440031</v>
      </c>
      <c r="AJ14" s="5">
        <v>-0.280752999575314</v>
      </c>
      <c r="AK14" s="5">
        <v>0.459647294440031</v>
      </c>
      <c r="AL14" s="5">
        <v>0.280752999575314</v>
      </c>
      <c r="AM14" s="5">
        <v>9.90856544965598</v>
      </c>
      <c r="AN14" s="5">
        <v>-0.457885273814649</v>
      </c>
      <c r="AO14" s="5">
        <v>-1.28</v>
      </c>
      <c r="AP14" s="5">
        <v>176558.643253875</v>
      </c>
      <c r="AQ14" s="5">
        <v>3.26474212239717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4.55274987369036</v>
      </c>
      <c r="AY14" s="5">
        <v>-7.88274914441085</v>
      </c>
      <c r="AZ14" s="5">
        <v>1</v>
      </c>
      <c r="BA14" s="5">
        <v>1</v>
      </c>
    </row>
    <row r="15" hidden="1" spans="1:53">
      <c r="A15" t="s">
        <v>53</v>
      </c>
      <c r="B15" t="s">
        <v>69</v>
      </c>
      <c r="C15" t="s">
        <v>55</v>
      </c>
      <c r="D15" s="4" t="s">
        <v>68</v>
      </c>
      <c r="E15">
        <v>0.58594</v>
      </c>
      <c r="F15">
        <v>6.7</v>
      </c>
      <c r="G15">
        <v>1</v>
      </c>
      <c r="H15">
        <v>17</v>
      </c>
      <c r="I15">
        <v>44</v>
      </c>
      <c r="J15">
        <v>36</v>
      </c>
      <c r="K15">
        <v>20</v>
      </c>
      <c r="L15" t="s">
        <v>57</v>
      </c>
      <c r="M15" t="s">
        <v>58</v>
      </c>
      <c r="N15" t="s">
        <v>59</v>
      </c>
      <c r="O15">
        <v>0.80448579498</v>
      </c>
      <c r="P15">
        <f t="shared" si="0"/>
        <v>1.37298323203741</v>
      </c>
      <c r="Q15">
        <f t="shared" si="1"/>
        <v>0.316985914065527</v>
      </c>
      <c r="R15">
        <v>150</v>
      </c>
      <c r="S15" t="s">
        <v>60</v>
      </c>
      <c r="T15" t="s">
        <v>61</v>
      </c>
      <c r="U15" t="s">
        <v>62</v>
      </c>
      <c r="V15">
        <v>1</v>
      </c>
      <c r="W15">
        <v>0</v>
      </c>
      <c r="X15">
        <v>1</v>
      </c>
      <c r="Y15">
        <v>1</v>
      </c>
      <c r="Z15">
        <v>0</v>
      </c>
      <c r="AA15">
        <v>0</v>
      </c>
      <c r="AB15">
        <v>1</v>
      </c>
      <c r="AC15">
        <v>0</v>
      </c>
      <c r="AD15">
        <v>1</v>
      </c>
      <c r="AE15" s="5">
        <v>12.1252083333333</v>
      </c>
      <c r="AF15" s="5">
        <v>3.79034722222222</v>
      </c>
      <c r="AG15" s="5">
        <v>0.795108310685598</v>
      </c>
      <c r="AH15" s="5">
        <v>15.0625</v>
      </c>
      <c r="AI15" s="5">
        <v>0.459665733935349</v>
      </c>
      <c r="AJ15" s="5">
        <v>-0.476627440416371</v>
      </c>
      <c r="AK15" s="5">
        <v>0.476627440416371</v>
      </c>
      <c r="AL15" s="5">
        <v>0.459665733935349</v>
      </c>
      <c r="AM15" s="5">
        <v>10.044436145131</v>
      </c>
      <c r="AN15" s="5">
        <v>-0.389909625311938</v>
      </c>
      <c r="AO15" s="5">
        <v>-1.16</v>
      </c>
      <c r="AP15" s="5">
        <v>939.726830541714</v>
      </c>
      <c r="AQ15" s="5">
        <v>1.77550667912426</v>
      </c>
      <c r="AR15" s="5">
        <v>0</v>
      </c>
      <c r="AS15" s="5">
        <v>4.79453718407182</v>
      </c>
      <c r="AT15" s="5">
        <v>0</v>
      </c>
      <c r="AU15" s="5">
        <v>0</v>
      </c>
      <c r="AV15" s="5">
        <v>0</v>
      </c>
      <c r="AW15" s="5">
        <v>0</v>
      </c>
      <c r="AX15" s="5">
        <v>5.10652739484071</v>
      </c>
      <c r="AY15" s="5">
        <v>-7.00458333333333</v>
      </c>
      <c r="AZ15" s="5">
        <v>0.8</v>
      </c>
      <c r="BA15" s="5">
        <v>1</v>
      </c>
    </row>
    <row r="16" hidden="1" spans="1:53">
      <c r="A16" t="s">
        <v>53</v>
      </c>
      <c r="B16" t="s">
        <v>70</v>
      </c>
      <c r="C16" t="s">
        <v>55</v>
      </c>
      <c r="D16" s="4" t="s">
        <v>63</v>
      </c>
      <c r="E16">
        <v>0.269536</v>
      </c>
      <c r="F16">
        <v>6.7</v>
      </c>
      <c r="G16">
        <v>1</v>
      </c>
      <c r="H16">
        <v>17</v>
      </c>
      <c r="I16">
        <v>44</v>
      </c>
      <c r="J16">
        <v>36</v>
      </c>
      <c r="K16">
        <v>20</v>
      </c>
      <c r="L16" t="s">
        <v>57</v>
      </c>
      <c r="M16" t="s">
        <v>58</v>
      </c>
      <c r="N16" t="s">
        <v>59</v>
      </c>
      <c r="O16">
        <v>0.33635378544</v>
      </c>
      <c r="P16">
        <f t="shared" ref="P16:P79" si="2">O16/E16</f>
        <v>1.24789929894337</v>
      </c>
      <c r="Q16">
        <f t="shared" si="1"/>
        <v>0.221461576742403</v>
      </c>
      <c r="R16">
        <v>150</v>
      </c>
      <c r="S16" t="s">
        <v>60</v>
      </c>
      <c r="T16" t="s">
        <v>61</v>
      </c>
      <c r="U16" t="s">
        <v>62</v>
      </c>
      <c r="V16">
        <v>1</v>
      </c>
      <c r="W16">
        <v>0</v>
      </c>
      <c r="X16">
        <v>1</v>
      </c>
      <c r="Y16">
        <v>1</v>
      </c>
      <c r="Z16">
        <v>0</v>
      </c>
      <c r="AA16">
        <v>0</v>
      </c>
      <c r="AB16">
        <v>1</v>
      </c>
      <c r="AC16">
        <v>0</v>
      </c>
      <c r="AD16">
        <v>1</v>
      </c>
      <c r="AE16" s="5">
        <v>12.2120833333333</v>
      </c>
      <c r="AF16" s="5">
        <v>7.00097222222222</v>
      </c>
      <c r="AG16" s="5">
        <v>0.642528075697275</v>
      </c>
      <c r="AH16" s="5">
        <v>16.1176470588235</v>
      </c>
      <c r="AI16" s="5">
        <v>0.459694901747447</v>
      </c>
      <c r="AJ16" s="5">
        <v>-0.280752981483328</v>
      </c>
      <c r="AK16" s="5">
        <v>0.459694901747447</v>
      </c>
      <c r="AL16" s="5">
        <v>0.280752981483328</v>
      </c>
      <c r="AM16" s="5">
        <v>10.1452721658031</v>
      </c>
      <c r="AN16" s="5">
        <v>-0.382289160206052</v>
      </c>
      <c r="AO16" s="5">
        <v>-0.72</v>
      </c>
      <c r="AP16" s="5">
        <v>1212.20967645111</v>
      </c>
      <c r="AQ16" s="5">
        <v>2.16502218725737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4.55274987369036</v>
      </c>
      <c r="AY16" s="5">
        <v>-7.13430555555556</v>
      </c>
      <c r="AZ16" s="5">
        <v>1</v>
      </c>
      <c r="BA16" s="5">
        <v>1</v>
      </c>
    </row>
    <row r="17" hidden="1" spans="1:53">
      <c r="A17" t="s">
        <v>53</v>
      </c>
      <c r="B17" t="s">
        <v>70</v>
      </c>
      <c r="C17" t="s">
        <v>55</v>
      </c>
      <c r="D17" s="4" t="s">
        <v>64</v>
      </c>
      <c r="E17">
        <v>0.0586</v>
      </c>
      <c r="F17">
        <v>6.7</v>
      </c>
      <c r="G17">
        <v>1</v>
      </c>
      <c r="H17">
        <v>17</v>
      </c>
      <c r="I17">
        <v>44</v>
      </c>
      <c r="J17">
        <v>36</v>
      </c>
      <c r="K17">
        <v>20</v>
      </c>
      <c r="L17" t="s">
        <v>57</v>
      </c>
      <c r="M17" t="s">
        <v>58</v>
      </c>
      <c r="N17" t="s">
        <v>59</v>
      </c>
      <c r="O17">
        <v>0.17565179904</v>
      </c>
      <c r="P17">
        <f t="shared" si="2"/>
        <v>2.99747097337884</v>
      </c>
      <c r="Q17">
        <f t="shared" si="1"/>
        <v>1.09776892426258</v>
      </c>
      <c r="R17">
        <v>150</v>
      </c>
      <c r="S17" t="s">
        <v>60</v>
      </c>
      <c r="T17" t="s">
        <v>61</v>
      </c>
      <c r="U17" t="s">
        <v>62</v>
      </c>
      <c r="V17">
        <v>1</v>
      </c>
      <c r="W17">
        <v>0</v>
      </c>
      <c r="X17">
        <v>1</v>
      </c>
      <c r="Y17">
        <v>1</v>
      </c>
      <c r="Z17">
        <v>0</v>
      </c>
      <c r="AA17">
        <v>0</v>
      </c>
      <c r="AB17">
        <v>1</v>
      </c>
      <c r="AC17">
        <v>0</v>
      </c>
      <c r="AD17">
        <v>1</v>
      </c>
      <c r="AE17" s="5">
        <v>12.3952083333333</v>
      </c>
      <c r="AF17" s="5">
        <v>3.99060232426304</v>
      </c>
      <c r="AG17" s="5">
        <v>0.809418673219238</v>
      </c>
      <c r="AH17" s="5">
        <v>15.5263157894737</v>
      </c>
      <c r="AI17" s="5">
        <v>0.459647654411774</v>
      </c>
      <c r="AJ17" s="5">
        <v>-0.476627457257861</v>
      </c>
      <c r="AK17" s="5">
        <v>0.476627457257861</v>
      </c>
      <c r="AL17" s="5">
        <v>0.459647654411774</v>
      </c>
      <c r="AM17" s="5">
        <v>9.98060231888395</v>
      </c>
      <c r="AN17" s="5">
        <v>-0.417658943556199</v>
      </c>
      <c r="AO17" s="5">
        <v>-1.3</v>
      </c>
      <c r="AP17" s="5">
        <v>3314.44680161703</v>
      </c>
      <c r="AQ17" s="5">
        <v>2.17852386673025</v>
      </c>
      <c r="AR17" s="5">
        <v>0</v>
      </c>
      <c r="AS17" s="5">
        <v>4.79453718407182</v>
      </c>
      <c r="AT17" s="5">
        <v>0</v>
      </c>
      <c r="AU17" s="5">
        <v>0</v>
      </c>
      <c r="AV17" s="5">
        <v>0</v>
      </c>
      <c r="AW17" s="5">
        <v>0</v>
      </c>
      <c r="AX17" s="5">
        <v>5.10652739484071</v>
      </c>
      <c r="AY17" s="5">
        <v>-7.29710978835979</v>
      </c>
      <c r="AZ17" s="5">
        <v>0.833333333333333</v>
      </c>
      <c r="BA17" s="5">
        <v>1</v>
      </c>
    </row>
    <row r="18" hidden="1" spans="1:53">
      <c r="A18" t="s">
        <v>53</v>
      </c>
      <c r="B18" t="s">
        <v>70</v>
      </c>
      <c r="C18" t="s">
        <v>55</v>
      </c>
      <c r="D18" s="4" t="s">
        <v>65</v>
      </c>
      <c r="E18">
        <v>0.08203</v>
      </c>
      <c r="F18">
        <v>6.7</v>
      </c>
      <c r="G18">
        <v>1</v>
      </c>
      <c r="H18">
        <v>17</v>
      </c>
      <c r="I18">
        <v>44</v>
      </c>
      <c r="J18">
        <v>36</v>
      </c>
      <c r="K18">
        <v>20</v>
      </c>
      <c r="L18" t="s">
        <v>57</v>
      </c>
      <c r="M18" t="s">
        <v>58</v>
      </c>
      <c r="N18" t="s">
        <v>59</v>
      </c>
      <c r="O18">
        <v>0.1607019864</v>
      </c>
      <c r="P18">
        <f t="shared" si="2"/>
        <v>1.95906359136901</v>
      </c>
      <c r="Q18">
        <f t="shared" si="1"/>
        <v>0.672466599573384</v>
      </c>
      <c r="R18">
        <v>150</v>
      </c>
      <c r="S18" t="s">
        <v>60</v>
      </c>
      <c r="T18" t="s">
        <v>61</v>
      </c>
      <c r="U18" t="s">
        <v>62</v>
      </c>
      <c r="V18">
        <v>1</v>
      </c>
      <c r="W18">
        <v>0</v>
      </c>
      <c r="X18">
        <v>1</v>
      </c>
      <c r="Y18">
        <v>1</v>
      </c>
      <c r="Z18">
        <v>0</v>
      </c>
      <c r="AA18">
        <v>0</v>
      </c>
      <c r="AB18">
        <v>1</v>
      </c>
      <c r="AC18">
        <v>0</v>
      </c>
      <c r="AD18">
        <v>1</v>
      </c>
      <c r="AE18" s="5">
        <v>12.6956944444444</v>
      </c>
      <c r="AF18" s="5">
        <v>7.51923752834467</v>
      </c>
      <c r="AG18" s="5">
        <v>0.567423483996869</v>
      </c>
      <c r="AH18" s="5">
        <v>16.6086956521739</v>
      </c>
      <c r="AI18" s="5">
        <v>0.459647303367286</v>
      </c>
      <c r="AJ18" s="5">
        <v>-0.280752999575136</v>
      </c>
      <c r="AK18" s="5">
        <v>0.459647303367286</v>
      </c>
      <c r="AL18" s="5">
        <v>0.280752999575136</v>
      </c>
      <c r="AM18" s="5">
        <v>9.97962409166519</v>
      </c>
      <c r="AN18" s="5">
        <v>-0.433260944725331</v>
      </c>
      <c r="AO18" s="5">
        <v>-1</v>
      </c>
      <c r="AP18" s="5">
        <v>14934.5346948423</v>
      </c>
      <c r="AQ18" s="5">
        <v>2.69882520469918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4.55274987369036</v>
      </c>
      <c r="AY18" s="5">
        <v>-7.5938637329932</v>
      </c>
      <c r="AZ18" s="5">
        <v>1</v>
      </c>
      <c r="BA18" s="5">
        <v>1</v>
      </c>
    </row>
    <row r="19" hidden="1" spans="1:53">
      <c r="A19" t="s">
        <v>53</v>
      </c>
      <c r="B19" t="s">
        <v>70</v>
      </c>
      <c r="C19" t="s">
        <v>55</v>
      </c>
      <c r="D19" s="4" t="s">
        <v>66</v>
      </c>
      <c r="E19">
        <v>0.29297</v>
      </c>
      <c r="F19">
        <v>6.7</v>
      </c>
      <c r="G19">
        <v>1</v>
      </c>
      <c r="H19">
        <v>17</v>
      </c>
      <c r="I19">
        <v>44</v>
      </c>
      <c r="J19">
        <v>36</v>
      </c>
      <c r="K19">
        <v>20</v>
      </c>
      <c r="L19" t="s">
        <v>57</v>
      </c>
      <c r="M19" t="s">
        <v>58</v>
      </c>
      <c r="N19" t="s">
        <v>59</v>
      </c>
      <c r="O19">
        <v>2.05549569888</v>
      </c>
      <c r="P19">
        <f t="shared" si="2"/>
        <v>7.01606205031232</v>
      </c>
      <c r="Q19">
        <f t="shared" si="1"/>
        <v>1.94820209914598</v>
      </c>
      <c r="R19">
        <v>150</v>
      </c>
      <c r="S19" t="s">
        <v>60</v>
      </c>
      <c r="T19" t="s">
        <v>61</v>
      </c>
      <c r="U19" t="s">
        <v>62</v>
      </c>
      <c r="V19">
        <v>1</v>
      </c>
      <c r="W19">
        <v>0</v>
      </c>
      <c r="X19">
        <v>1</v>
      </c>
      <c r="Y19">
        <v>1</v>
      </c>
      <c r="Z19">
        <v>0</v>
      </c>
      <c r="AA19">
        <v>0</v>
      </c>
      <c r="AB19">
        <v>1</v>
      </c>
      <c r="AC19">
        <v>0</v>
      </c>
      <c r="AD19">
        <v>1</v>
      </c>
      <c r="AE19" s="5">
        <v>12.8254166666667</v>
      </c>
      <c r="AF19" s="5">
        <v>4.27882137345679</v>
      </c>
      <c r="AG19" s="5">
        <v>0.653062667189842</v>
      </c>
      <c r="AH19" s="5">
        <v>16.12</v>
      </c>
      <c r="AI19" s="5">
        <v>0.459647294455008</v>
      </c>
      <c r="AJ19" s="5">
        <v>-0.47662745733429</v>
      </c>
      <c r="AK19" s="5">
        <v>0.47662745733429</v>
      </c>
      <c r="AL19" s="5">
        <v>0.459647294455008</v>
      </c>
      <c r="AM19" s="5">
        <v>9.90907137329749</v>
      </c>
      <c r="AN19" s="5">
        <v>-0.449718247791216</v>
      </c>
      <c r="AO19" s="5">
        <v>-1.58</v>
      </c>
      <c r="AP19" s="5">
        <v>39741.8973369129</v>
      </c>
      <c r="AQ19" s="5">
        <v>2.73920148528388</v>
      </c>
      <c r="AR19" s="5">
        <v>0</v>
      </c>
      <c r="AS19" s="5">
        <v>4.79453718407182</v>
      </c>
      <c r="AT19" s="5">
        <v>0</v>
      </c>
      <c r="AU19" s="5">
        <v>0</v>
      </c>
      <c r="AV19" s="5">
        <v>0</v>
      </c>
      <c r="AW19" s="5">
        <v>0</v>
      </c>
      <c r="AX19" s="5">
        <v>5.10652739484071</v>
      </c>
      <c r="AY19" s="5">
        <v>-7.69383775037793</v>
      </c>
      <c r="AZ19" s="5">
        <v>0.875</v>
      </c>
      <c r="BA19" s="5">
        <v>1</v>
      </c>
    </row>
    <row r="20" hidden="1" spans="1:53">
      <c r="A20" t="s">
        <v>53</v>
      </c>
      <c r="B20" t="s">
        <v>70</v>
      </c>
      <c r="C20" t="s">
        <v>55</v>
      </c>
      <c r="D20" s="4" t="s">
        <v>67</v>
      </c>
      <c r="E20">
        <v>0.0585999999999998</v>
      </c>
      <c r="F20">
        <v>6.7</v>
      </c>
      <c r="G20">
        <v>1</v>
      </c>
      <c r="H20">
        <v>17</v>
      </c>
      <c r="I20">
        <v>44</v>
      </c>
      <c r="J20">
        <v>36</v>
      </c>
      <c r="K20">
        <v>20</v>
      </c>
      <c r="L20" t="s">
        <v>57</v>
      </c>
      <c r="M20" t="s">
        <v>58</v>
      </c>
      <c r="N20" t="s">
        <v>59</v>
      </c>
      <c r="O20">
        <v>0.95300496768</v>
      </c>
      <c r="P20">
        <f t="shared" si="2"/>
        <v>16.2628834075086</v>
      </c>
      <c r="Q20">
        <f t="shared" si="1"/>
        <v>2.78888541973341</v>
      </c>
      <c r="R20">
        <v>150</v>
      </c>
      <c r="S20" t="s">
        <v>60</v>
      </c>
      <c r="T20" t="s">
        <v>61</v>
      </c>
      <c r="U20" t="s">
        <v>62</v>
      </c>
      <c r="V20">
        <v>1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0</v>
      </c>
      <c r="AD20">
        <v>1</v>
      </c>
      <c r="AE20" s="5">
        <v>13.0371419123205</v>
      </c>
      <c r="AF20" s="5">
        <v>7.66829457707096</v>
      </c>
      <c r="AG20" s="5">
        <v>0.402493807679921</v>
      </c>
      <c r="AH20" s="5">
        <v>16.8965517241379</v>
      </c>
      <c r="AI20" s="5">
        <v>0.459647294440031</v>
      </c>
      <c r="AJ20" s="5">
        <v>-0.280752999575314</v>
      </c>
      <c r="AK20" s="5">
        <v>0.459647294440031</v>
      </c>
      <c r="AL20" s="5">
        <v>0.280752999575314</v>
      </c>
      <c r="AM20" s="5">
        <v>9.90856544965598</v>
      </c>
      <c r="AN20" s="5">
        <v>-0.457885273814649</v>
      </c>
      <c r="AO20" s="5">
        <v>-1.28</v>
      </c>
      <c r="AP20" s="5">
        <v>176558.643253875</v>
      </c>
      <c r="AQ20" s="5">
        <v>3.26474212239717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4.55274987369036</v>
      </c>
      <c r="AY20" s="5">
        <v>-7.88274914441085</v>
      </c>
      <c r="AZ20" s="5">
        <v>1</v>
      </c>
      <c r="BA20" s="5">
        <v>1</v>
      </c>
    </row>
    <row r="21" hidden="1" spans="1:53">
      <c r="A21" t="s">
        <v>53</v>
      </c>
      <c r="B21" t="s">
        <v>70</v>
      </c>
      <c r="C21" t="s">
        <v>55</v>
      </c>
      <c r="D21" s="4" t="s">
        <v>68</v>
      </c>
      <c r="E21">
        <v>0.0234300000000003</v>
      </c>
      <c r="F21">
        <v>6.7</v>
      </c>
      <c r="G21">
        <v>1</v>
      </c>
      <c r="H21">
        <v>17</v>
      </c>
      <c r="I21">
        <v>44</v>
      </c>
      <c r="J21">
        <v>36</v>
      </c>
      <c r="K21">
        <v>20</v>
      </c>
      <c r="L21" t="s">
        <v>57</v>
      </c>
      <c r="M21" t="s">
        <v>58</v>
      </c>
      <c r="N21" t="s">
        <v>59</v>
      </c>
      <c r="O21">
        <v>0.75492690432</v>
      </c>
      <c r="P21">
        <f t="shared" si="2"/>
        <v>32.2205251523683</v>
      </c>
      <c r="Q21">
        <f t="shared" si="1"/>
        <v>3.47260367657219</v>
      </c>
      <c r="R21">
        <v>150</v>
      </c>
      <c r="S21" t="s">
        <v>60</v>
      </c>
      <c r="T21" t="s">
        <v>61</v>
      </c>
      <c r="U21" t="s">
        <v>62</v>
      </c>
      <c r="V21">
        <v>1</v>
      </c>
      <c r="W21">
        <v>0</v>
      </c>
      <c r="X21">
        <v>1</v>
      </c>
      <c r="Y21">
        <v>1</v>
      </c>
      <c r="Z21">
        <v>0</v>
      </c>
      <c r="AA21">
        <v>0</v>
      </c>
      <c r="AB21">
        <v>1</v>
      </c>
      <c r="AC21">
        <v>0</v>
      </c>
      <c r="AD21">
        <v>1</v>
      </c>
      <c r="AE21" s="5">
        <v>12.1252083333333</v>
      </c>
      <c r="AF21" s="5">
        <v>3.79034722222222</v>
      </c>
      <c r="AG21" s="5">
        <v>0.795108310685598</v>
      </c>
      <c r="AH21" s="5">
        <v>15.0625</v>
      </c>
      <c r="AI21" s="5">
        <v>0.459665733935349</v>
      </c>
      <c r="AJ21" s="5">
        <v>-0.476627440416371</v>
      </c>
      <c r="AK21" s="5">
        <v>0.476627440416371</v>
      </c>
      <c r="AL21" s="5">
        <v>0.459665733935349</v>
      </c>
      <c r="AM21" s="5">
        <v>10.044436145131</v>
      </c>
      <c r="AN21" s="5">
        <v>-0.389909625311938</v>
      </c>
      <c r="AO21" s="5">
        <v>-1.16</v>
      </c>
      <c r="AP21" s="5">
        <v>939.726830541714</v>
      </c>
      <c r="AQ21" s="5">
        <v>1.77550667912426</v>
      </c>
      <c r="AR21" s="5">
        <v>0</v>
      </c>
      <c r="AS21" s="5">
        <v>4.79453718407182</v>
      </c>
      <c r="AT21" s="5">
        <v>0</v>
      </c>
      <c r="AU21" s="5">
        <v>0</v>
      </c>
      <c r="AV21" s="5">
        <v>0</v>
      </c>
      <c r="AW21" s="5">
        <v>0</v>
      </c>
      <c r="AX21" s="5">
        <v>5.10652739484071</v>
      </c>
      <c r="AY21" s="5">
        <v>-7.00458333333333</v>
      </c>
      <c r="AZ21" s="5">
        <v>0.8</v>
      </c>
      <c r="BA21" s="5">
        <v>1</v>
      </c>
    </row>
    <row r="22" hidden="1" spans="1:53">
      <c r="A22" t="s">
        <v>53</v>
      </c>
      <c r="B22" t="s">
        <v>71</v>
      </c>
      <c r="C22" t="s">
        <v>55</v>
      </c>
      <c r="D22" s="4" t="s">
        <v>56</v>
      </c>
      <c r="E22">
        <v>2.05078</v>
      </c>
      <c r="F22">
        <v>6.7</v>
      </c>
      <c r="G22">
        <v>1</v>
      </c>
      <c r="H22">
        <v>17</v>
      </c>
      <c r="I22">
        <v>44</v>
      </c>
      <c r="J22">
        <v>36</v>
      </c>
      <c r="K22">
        <v>20</v>
      </c>
      <c r="L22" t="s">
        <v>57</v>
      </c>
      <c r="M22" t="s">
        <v>58</v>
      </c>
      <c r="N22" t="s">
        <v>59</v>
      </c>
      <c r="O22">
        <v>1.36909806493</v>
      </c>
      <c r="P22">
        <f t="shared" si="2"/>
        <v>0.667598701435551</v>
      </c>
      <c r="Q22">
        <f t="shared" si="1"/>
        <v>-0.404068032319849</v>
      </c>
      <c r="R22">
        <v>150</v>
      </c>
      <c r="S22" t="s">
        <v>60</v>
      </c>
      <c r="T22" t="s">
        <v>61</v>
      </c>
      <c r="U22" t="s">
        <v>62</v>
      </c>
      <c r="V22">
        <v>1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0</v>
      </c>
      <c r="AD22">
        <v>1</v>
      </c>
      <c r="AE22" s="5">
        <v>11.7505787037037</v>
      </c>
      <c r="AF22" s="5">
        <v>3.53256944444444</v>
      </c>
      <c r="AG22" s="5">
        <v>0.712441776552488</v>
      </c>
      <c r="AH22" s="5">
        <v>14.3846153846154</v>
      </c>
      <c r="AI22" s="5">
        <v>0.460094687009651</v>
      </c>
      <c r="AJ22" s="5">
        <v>-0.476625664235965</v>
      </c>
      <c r="AK22" s="5">
        <v>0.476625664235965</v>
      </c>
      <c r="AL22" s="5">
        <v>0.460094687009651</v>
      </c>
      <c r="AM22" s="5">
        <v>10.1473915373546</v>
      </c>
      <c r="AN22" s="5">
        <v>-0.347050241178715</v>
      </c>
      <c r="AO22" s="5">
        <v>-1.02</v>
      </c>
      <c r="AP22" s="5">
        <v>260.658615872357</v>
      </c>
      <c r="AQ22" s="5">
        <v>1.67669845728037</v>
      </c>
      <c r="AR22" s="5">
        <v>0</v>
      </c>
      <c r="AS22" s="5">
        <v>4.79453718407182</v>
      </c>
      <c r="AT22" s="5">
        <v>0</v>
      </c>
      <c r="AU22" s="5">
        <v>0</v>
      </c>
      <c r="AV22" s="5">
        <v>0</v>
      </c>
      <c r="AW22" s="5">
        <v>0</v>
      </c>
      <c r="AX22" s="5">
        <v>5.10652739484071</v>
      </c>
      <c r="AY22" s="5">
        <v>-6.60229166666667</v>
      </c>
      <c r="AZ22" s="5">
        <v>0.75</v>
      </c>
      <c r="BA22" s="5">
        <v>1</v>
      </c>
    </row>
    <row r="23" hidden="1" spans="1:53">
      <c r="A23" t="s">
        <v>53</v>
      </c>
      <c r="B23" t="s">
        <v>71</v>
      </c>
      <c r="C23" t="s">
        <v>55</v>
      </c>
      <c r="D23" s="4" t="s">
        <v>63</v>
      </c>
      <c r="E23">
        <v>0.44531</v>
      </c>
      <c r="F23">
        <v>6.7</v>
      </c>
      <c r="G23">
        <v>1</v>
      </c>
      <c r="H23">
        <v>17</v>
      </c>
      <c r="I23">
        <v>44</v>
      </c>
      <c r="J23">
        <v>36</v>
      </c>
      <c r="K23">
        <v>20</v>
      </c>
      <c r="L23" t="s">
        <v>57</v>
      </c>
      <c r="M23" t="s">
        <v>58</v>
      </c>
      <c r="N23" t="s">
        <v>59</v>
      </c>
      <c r="O23">
        <v>1.918811357</v>
      </c>
      <c r="P23">
        <f t="shared" si="2"/>
        <v>4.30893390447104</v>
      </c>
      <c r="Q23">
        <f t="shared" si="1"/>
        <v>1.46069051956759</v>
      </c>
      <c r="R23">
        <v>150</v>
      </c>
      <c r="S23" t="s">
        <v>60</v>
      </c>
      <c r="T23" t="s">
        <v>61</v>
      </c>
      <c r="U23" t="s">
        <v>62</v>
      </c>
      <c r="V23">
        <v>1</v>
      </c>
      <c r="W23">
        <v>0</v>
      </c>
      <c r="X23">
        <v>1</v>
      </c>
      <c r="Y23">
        <v>1</v>
      </c>
      <c r="Z23">
        <v>0</v>
      </c>
      <c r="AA23">
        <v>0</v>
      </c>
      <c r="AB23">
        <v>1</v>
      </c>
      <c r="AC23">
        <v>0</v>
      </c>
      <c r="AD23">
        <v>1</v>
      </c>
      <c r="AE23" s="5">
        <v>12.2120833333333</v>
      </c>
      <c r="AF23" s="5">
        <v>7.00097222222222</v>
      </c>
      <c r="AG23" s="5">
        <v>0.642528075697275</v>
      </c>
      <c r="AH23" s="5">
        <v>16.1176470588235</v>
      </c>
      <c r="AI23" s="5">
        <v>0.459694901747447</v>
      </c>
      <c r="AJ23" s="5">
        <v>-0.280752981483328</v>
      </c>
      <c r="AK23" s="5">
        <v>0.459694901747447</v>
      </c>
      <c r="AL23" s="5">
        <v>0.280752981483328</v>
      </c>
      <c r="AM23" s="5">
        <v>10.1452721658031</v>
      </c>
      <c r="AN23" s="5">
        <v>-0.382289160206052</v>
      </c>
      <c r="AO23" s="5">
        <v>-0.72</v>
      </c>
      <c r="AP23" s="5">
        <v>1212.20967645111</v>
      </c>
      <c r="AQ23" s="5">
        <v>2.16502218725737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4.55274987369036</v>
      </c>
      <c r="AY23" s="5">
        <v>-7.13430555555556</v>
      </c>
      <c r="AZ23" s="5">
        <v>1</v>
      </c>
      <c r="BA23" s="5">
        <v>1</v>
      </c>
    </row>
    <row r="24" hidden="1" spans="1:53">
      <c r="A24" t="s">
        <v>53</v>
      </c>
      <c r="B24" t="s">
        <v>71</v>
      </c>
      <c r="C24" t="s">
        <v>55</v>
      </c>
      <c r="D24" s="4" t="s">
        <v>64</v>
      </c>
      <c r="E24">
        <v>0.0585999999999998</v>
      </c>
      <c r="F24">
        <v>6.7</v>
      </c>
      <c r="G24">
        <v>1</v>
      </c>
      <c r="H24">
        <v>17</v>
      </c>
      <c r="I24">
        <v>44</v>
      </c>
      <c r="J24">
        <v>36</v>
      </c>
      <c r="K24">
        <v>20</v>
      </c>
      <c r="L24" t="s">
        <v>57</v>
      </c>
      <c r="M24" t="s">
        <v>58</v>
      </c>
      <c r="N24" t="s">
        <v>59</v>
      </c>
      <c r="O24">
        <v>0.39413260189</v>
      </c>
      <c r="P24">
        <f t="shared" si="2"/>
        <v>6.725812318942</v>
      </c>
      <c r="Q24">
        <f t="shared" si="1"/>
        <v>1.90595270911401</v>
      </c>
      <c r="R24">
        <v>150</v>
      </c>
      <c r="S24" t="s">
        <v>60</v>
      </c>
      <c r="T24" t="s">
        <v>61</v>
      </c>
      <c r="U24" t="s">
        <v>62</v>
      </c>
      <c r="V24">
        <v>1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0</v>
      </c>
      <c r="AD24">
        <v>1</v>
      </c>
      <c r="AE24" s="5">
        <v>12.3952083333333</v>
      </c>
      <c r="AF24" s="5">
        <v>3.99060232426304</v>
      </c>
      <c r="AG24" s="5">
        <v>0.809418673219238</v>
      </c>
      <c r="AH24" s="5">
        <v>15.5263157894737</v>
      </c>
      <c r="AI24" s="5">
        <v>0.459647654411774</v>
      </c>
      <c r="AJ24" s="5">
        <v>-0.476627457257861</v>
      </c>
      <c r="AK24" s="5">
        <v>0.476627457257861</v>
      </c>
      <c r="AL24" s="5">
        <v>0.459647654411774</v>
      </c>
      <c r="AM24" s="5">
        <v>9.98060231888395</v>
      </c>
      <c r="AN24" s="5">
        <v>-0.417658943556199</v>
      </c>
      <c r="AO24" s="5">
        <v>-1.3</v>
      </c>
      <c r="AP24" s="5">
        <v>3314.44680161703</v>
      </c>
      <c r="AQ24" s="5">
        <v>2.17852386673025</v>
      </c>
      <c r="AR24" s="5">
        <v>0</v>
      </c>
      <c r="AS24" s="5">
        <v>4.79453718407182</v>
      </c>
      <c r="AT24" s="5">
        <v>0</v>
      </c>
      <c r="AU24" s="5">
        <v>0</v>
      </c>
      <c r="AV24" s="5">
        <v>0</v>
      </c>
      <c r="AW24" s="5">
        <v>0</v>
      </c>
      <c r="AX24" s="5">
        <v>5.10652739484071</v>
      </c>
      <c r="AY24" s="5">
        <v>-7.29710978835979</v>
      </c>
      <c r="AZ24" s="5">
        <v>0.833333333333333</v>
      </c>
      <c r="BA24" s="5">
        <v>1</v>
      </c>
    </row>
    <row r="25" hidden="1" spans="1:53">
      <c r="A25" t="s">
        <v>53</v>
      </c>
      <c r="B25" t="s">
        <v>71</v>
      </c>
      <c r="C25" t="s">
        <v>55</v>
      </c>
      <c r="D25" s="4" t="s">
        <v>65</v>
      </c>
      <c r="E25">
        <v>0.0351500000000002</v>
      </c>
      <c r="F25">
        <v>6.7</v>
      </c>
      <c r="G25">
        <v>1</v>
      </c>
      <c r="H25">
        <v>17</v>
      </c>
      <c r="I25">
        <v>44</v>
      </c>
      <c r="J25">
        <v>36</v>
      </c>
      <c r="K25">
        <v>20</v>
      </c>
      <c r="L25" t="s">
        <v>57</v>
      </c>
      <c r="M25" t="s">
        <v>58</v>
      </c>
      <c r="N25" t="s">
        <v>59</v>
      </c>
      <c r="O25">
        <v>0.33190204134</v>
      </c>
      <c r="P25">
        <f t="shared" si="2"/>
        <v>9.44244783328586</v>
      </c>
      <c r="Q25">
        <f t="shared" si="1"/>
        <v>2.24521525091734</v>
      </c>
      <c r="R25">
        <v>150</v>
      </c>
      <c r="S25" t="s">
        <v>60</v>
      </c>
      <c r="T25" t="s">
        <v>61</v>
      </c>
      <c r="U25" t="s">
        <v>62</v>
      </c>
      <c r="V25">
        <v>1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0</v>
      </c>
      <c r="AD25">
        <v>1</v>
      </c>
      <c r="AE25" s="5">
        <v>12.6956944444444</v>
      </c>
      <c r="AF25" s="5">
        <v>7.51923752834467</v>
      </c>
      <c r="AG25" s="5">
        <v>0.567423483996869</v>
      </c>
      <c r="AH25" s="5">
        <v>16.6086956521739</v>
      </c>
      <c r="AI25" s="5">
        <v>0.459647303367286</v>
      </c>
      <c r="AJ25" s="5">
        <v>-0.280752999575136</v>
      </c>
      <c r="AK25" s="5">
        <v>0.459647303367286</v>
      </c>
      <c r="AL25" s="5">
        <v>0.280752999575136</v>
      </c>
      <c r="AM25" s="5">
        <v>9.97962409166519</v>
      </c>
      <c r="AN25" s="5">
        <v>-0.433260944725331</v>
      </c>
      <c r="AO25" s="5">
        <v>-1</v>
      </c>
      <c r="AP25" s="5">
        <v>14934.5346948423</v>
      </c>
      <c r="AQ25" s="5">
        <v>2.69882520469918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4.55274987369036</v>
      </c>
      <c r="AY25" s="5">
        <v>-7.5938637329932</v>
      </c>
      <c r="AZ25" s="5">
        <v>1</v>
      </c>
      <c r="BA25" s="5">
        <v>1</v>
      </c>
    </row>
    <row r="26" hidden="1" spans="1:53">
      <c r="A26" t="s">
        <v>53</v>
      </c>
      <c r="B26" t="s">
        <v>71</v>
      </c>
      <c r="C26" t="s">
        <v>55</v>
      </c>
      <c r="D26" s="4" t="s">
        <v>66</v>
      </c>
      <c r="E26">
        <v>0.375</v>
      </c>
      <c r="F26">
        <v>6.7</v>
      </c>
      <c r="G26">
        <v>1</v>
      </c>
      <c r="H26">
        <v>17</v>
      </c>
      <c r="I26">
        <v>44</v>
      </c>
      <c r="J26">
        <v>36</v>
      </c>
      <c r="K26">
        <v>20</v>
      </c>
      <c r="L26" t="s">
        <v>57</v>
      </c>
      <c r="M26" t="s">
        <v>58</v>
      </c>
      <c r="N26" t="s">
        <v>59</v>
      </c>
      <c r="O26">
        <v>1.34835740395</v>
      </c>
      <c r="P26">
        <f t="shared" si="2"/>
        <v>3.59561974386667</v>
      </c>
      <c r="Q26">
        <f t="shared" si="1"/>
        <v>1.27971636682081</v>
      </c>
      <c r="R26">
        <v>150</v>
      </c>
      <c r="S26" t="s">
        <v>60</v>
      </c>
      <c r="T26" t="s">
        <v>61</v>
      </c>
      <c r="U26" t="s">
        <v>62</v>
      </c>
      <c r="V26">
        <v>1</v>
      </c>
      <c r="W26">
        <v>0</v>
      </c>
      <c r="X26">
        <v>1</v>
      </c>
      <c r="Y26">
        <v>1</v>
      </c>
      <c r="Z26">
        <v>0</v>
      </c>
      <c r="AA26">
        <v>0</v>
      </c>
      <c r="AB26">
        <v>1</v>
      </c>
      <c r="AC26">
        <v>0</v>
      </c>
      <c r="AD26">
        <v>1</v>
      </c>
      <c r="AE26" s="5">
        <v>12.8254166666667</v>
      </c>
      <c r="AF26" s="5">
        <v>4.27882137345679</v>
      </c>
      <c r="AG26" s="5">
        <v>0.653062667189842</v>
      </c>
      <c r="AH26" s="5">
        <v>16.12</v>
      </c>
      <c r="AI26" s="5">
        <v>0.459647294455008</v>
      </c>
      <c r="AJ26" s="5">
        <v>-0.47662745733429</v>
      </c>
      <c r="AK26" s="5">
        <v>0.47662745733429</v>
      </c>
      <c r="AL26" s="5">
        <v>0.459647294455008</v>
      </c>
      <c r="AM26" s="5">
        <v>9.90907137329749</v>
      </c>
      <c r="AN26" s="5">
        <v>-0.449718247791216</v>
      </c>
      <c r="AO26" s="5">
        <v>-1.58</v>
      </c>
      <c r="AP26" s="5">
        <v>39741.8973369129</v>
      </c>
      <c r="AQ26" s="5">
        <v>2.73920148528388</v>
      </c>
      <c r="AR26" s="5">
        <v>0</v>
      </c>
      <c r="AS26" s="5">
        <v>4.79453718407182</v>
      </c>
      <c r="AT26" s="5">
        <v>0</v>
      </c>
      <c r="AU26" s="5">
        <v>0</v>
      </c>
      <c r="AV26" s="5">
        <v>0</v>
      </c>
      <c r="AW26" s="5">
        <v>0</v>
      </c>
      <c r="AX26" s="5">
        <v>5.10652739484071</v>
      </c>
      <c r="AY26" s="5">
        <v>-7.69383775037793</v>
      </c>
      <c r="AZ26" s="5">
        <v>0.875</v>
      </c>
      <c r="BA26" s="5">
        <v>1</v>
      </c>
    </row>
    <row r="27" hidden="1" spans="1:53">
      <c r="A27" t="s">
        <v>53</v>
      </c>
      <c r="B27" t="s">
        <v>71</v>
      </c>
      <c r="C27" t="s">
        <v>55</v>
      </c>
      <c r="D27" s="4" t="s">
        <v>67</v>
      </c>
      <c r="E27">
        <v>0.10547</v>
      </c>
      <c r="F27">
        <v>6.7</v>
      </c>
      <c r="G27">
        <v>1</v>
      </c>
      <c r="H27">
        <v>17</v>
      </c>
      <c r="I27">
        <v>44</v>
      </c>
      <c r="J27">
        <v>36</v>
      </c>
      <c r="K27">
        <v>20</v>
      </c>
      <c r="L27" t="s">
        <v>57</v>
      </c>
      <c r="M27" t="s">
        <v>58</v>
      </c>
      <c r="N27" t="s">
        <v>59</v>
      </c>
      <c r="O27">
        <v>2.28183296742</v>
      </c>
      <c r="P27">
        <f t="shared" si="2"/>
        <v>21.6349006107898</v>
      </c>
      <c r="Q27">
        <f t="shared" si="1"/>
        <v>3.0743077797578</v>
      </c>
      <c r="R27">
        <v>150</v>
      </c>
      <c r="S27" t="s">
        <v>60</v>
      </c>
      <c r="T27" t="s">
        <v>61</v>
      </c>
      <c r="U27" t="s">
        <v>62</v>
      </c>
      <c r="V27">
        <v>1</v>
      </c>
      <c r="W27">
        <v>0</v>
      </c>
      <c r="X27">
        <v>1</v>
      </c>
      <c r="Y27">
        <v>1</v>
      </c>
      <c r="Z27">
        <v>0</v>
      </c>
      <c r="AA27">
        <v>0</v>
      </c>
      <c r="AB27">
        <v>1</v>
      </c>
      <c r="AC27">
        <v>0</v>
      </c>
      <c r="AD27">
        <v>1</v>
      </c>
      <c r="AE27" s="5">
        <v>13.0371419123205</v>
      </c>
      <c r="AF27" s="5">
        <v>7.66829457707096</v>
      </c>
      <c r="AG27" s="5">
        <v>0.402493807679921</v>
      </c>
      <c r="AH27" s="5">
        <v>16.8965517241379</v>
      </c>
      <c r="AI27" s="5">
        <v>0.459647294440031</v>
      </c>
      <c r="AJ27" s="5">
        <v>-0.280752999575314</v>
      </c>
      <c r="AK27" s="5">
        <v>0.459647294440031</v>
      </c>
      <c r="AL27" s="5">
        <v>0.280752999575314</v>
      </c>
      <c r="AM27" s="5">
        <v>9.90856544965598</v>
      </c>
      <c r="AN27" s="5">
        <v>-0.457885273814649</v>
      </c>
      <c r="AO27" s="5">
        <v>-1.28</v>
      </c>
      <c r="AP27" s="5">
        <v>176558.643253875</v>
      </c>
      <c r="AQ27" s="5">
        <v>3.26474212239717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4.55274987369036</v>
      </c>
      <c r="AY27" s="5">
        <v>-7.88274914441085</v>
      </c>
      <c r="AZ27" s="5">
        <v>1</v>
      </c>
      <c r="BA27" s="5">
        <v>1</v>
      </c>
    </row>
    <row r="28" hidden="1" spans="1:53">
      <c r="A28" t="s">
        <v>53</v>
      </c>
      <c r="B28" t="s">
        <v>71</v>
      </c>
      <c r="C28" t="s">
        <v>55</v>
      </c>
      <c r="D28" s="4" t="s">
        <v>68</v>
      </c>
      <c r="E28">
        <v>0.0351599999999999</v>
      </c>
      <c r="F28">
        <v>6.7</v>
      </c>
      <c r="G28">
        <v>1</v>
      </c>
      <c r="H28">
        <v>17</v>
      </c>
      <c r="I28">
        <v>44</v>
      </c>
      <c r="J28">
        <v>36</v>
      </c>
      <c r="K28">
        <v>20</v>
      </c>
      <c r="L28" t="s">
        <v>57</v>
      </c>
      <c r="M28" t="s">
        <v>58</v>
      </c>
      <c r="N28" t="s">
        <v>59</v>
      </c>
      <c r="O28">
        <v>0.93347556347</v>
      </c>
      <c r="P28">
        <f t="shared" si="2"/>
        <v>26.5493618734358</v>
      </c>
      <c r="Q28">
        <f t="shared" si="1"/>
        <v>3.27900571250026</v>
      </c>
      <c r="R28">
        <v>150</v>
      </c>
      <c r="S28" t="s">
        <v>60</v>
      </c>
      <c r="T28" t="s">
        <v>61</v>
      </c>
      <c r="U28" t="s">
        <v>62</v>
      </c>
      <c r="V28">
        <v>1</v>
      </c>
      <c r="W28">
        <v>0</v>
      </c>
      <c r="X28">
        <v>1</v>
      </c>
      <c r="Y28">
        <v>1</v>
      </c>
      <c r="Z28">
        <v>0</v>
      </c>
      <c r="AA28">
        <v>0</v>
      </c>
      <c r="AB28">
        <v>1</v>
      </c>
      <c r="AC28">
        <v>0</v>
      </c>
      <c r="AD28">
        <v>1</v>
      </c>
      <c r="AE28" s="5">
        <v>12.1252083333333</v>
      </c>
      <c r="AF28" s="5">
        <v>3.79034722222222</v>
      </c>
      <c r="AG28" s="5">
        <v>0.795108310685598</v>
      </c>
      <c r="AH28" s="5">
        <v>15.0625</v>
      </c>
      <c r="AI28" s="5">
        <v>0.459665733935349</v>
      </c>
      <c r="AJ28" s="5">
        <v>-0.476627440416371</v>
      </c>
      <c r="AK28" s="5">
        <v>0.476627440416371</v>
      </c>
      <c r="AL28" s="5">
        <v>0.459665733935349</v>
      </c>
      <c r="AM28" s="5">
        <v>10.044436145131</v>
      </c>
      <c r="AN28" s="5">
        <v>-0.389909625311938</v>
      </c>
      <c r="AO28" s="5">
        <v>-1.16</v>
      </c>
      <c r="AP28" s="5">
        <v>939.726830541714</v>
      </c>
      <c r="AQ28" s="5">
        <v>1.77550667912426</v>
      </c>
      <c r="AR28" s="5">
        <v>0</v>
      </c>
      <c r="AS28" s="5">
        <v>4.79453718407182</v>
      </c>
      <c r="AT28" s="5">
        <v>0</v>
      </c>
      <c r="AU28" s="5">
        <v>0</v>
      </c>
      <c r="AV28" s="5">
        <v>0</v>
      </c>
      <c r="AW28" s="5">
        <v>0</v>
      </c>
      <c r="AX28" s="5">
        <v>5.10652739484071</v>
      </c>
      <c r="AY28" s="5">
        <v>-7.00458333333333</v>
      </c>
      <c r="AZ28" s="5">
        <v>0.8</v>
      </c>
      <c r="BA28" s="5">
        <v>1</v>
      </c>
    </row>
    <row r="29" hidden="1" spans="1:53">
      <c r="A29" t="s">
        <v>53</v>
      </c>
      <c r="B29" t="s">
        <v>72</v>
      </c>
      <c r="C29" t="s">
        <v>55</v>
      </c>
      <c r="D29" s="4" t="s">
        <v>56</v>
      </c>
      <c r="E29">
        <v>0.855469</v>
      </c>
      <c r="F29">
        <v>6.7</v>
      </c>
      <c r="G29">
        <v>1</v>
      </c>
      <c r="H29">
        <v>17</v>
      </c>
      <c r="I29">
        <v>44</v>
      </c>
      <c r="J29">
        <v>36</v>
      </c>
      <c r="K29">
        <v>20</v>
      </c>
      <c r="L29" t="s">
        <v>57</v>
      </c>
      <c r="M29" t="s">
        <v>58</v>
      </c>
      <c r="N29" t="s">
        <v>59</v>
      </c>
      <c r="O29">
        <v>0.96876054168</v>
      </c>
      <c r="P29">
        <f t="shared" si="2"/>
        <v>1.13243208307957</v>
      </c>
      <c r="Q29">
        <f t="shared" si="1"/>
        <v>0.124367605786069</v>
      </c>
      <c r="R29">
        <v>150</v>
      </c>
      <c r="S29" t="s">
        <v>60</v>
      </c>
      <c r="T29" t="s">
        <v>61</v>
      </c>
      <c r="U29" t="s">
        <v>62</v>
      </c>
      <c r="V29">
        <v>1</v>
      </c>
      <c r="W29">
        <v>0</v>
      </c>
      <c r="X29">
        <v>1</v>
      </c>
      <c r="Y29">
        <v>1</v>
      </c>
      <c r="Z29">
        <v>0</v>
      </c>
      <c r="AA29">
        <v>0</v>
      </c>
      <c r="AB29">
        <v>1</v>
      </c>
      <c r="AC29">
        <v>0</v>
      </c>
      <c r="AD29">
        <v>1</v>
      </c>
      <c r="AE29" s="5">
        <v>11.7505787037037</v>
      </c>
      <c r="AF29" s="5">
        <v>3.53256944444444</v>
      </c>
      <c r="AG29" s="5">
        <v>0.712441776552488</v>
      </c>
      <c r="AH29" s="5">
        <v>14.3846153846154</v>
      </c>
      <c r="AI29" s="5">
        <v>0.460094687009651</v>
      </c>
      <c r="AJ29" s="5">
        <v>-0.476625664235965</v>
      </c>
      <c r="AK29" s="5">
        <v>0.476625664235965</v>
      </c>
      <c r="AL29" s="5">
        <v>0.460094687009651</v>
      </c>
      <c r="AM29" s="5">
        <v>10.1473915373546</v>
      </c>
      <c r="AN29" s="5">
        <v>-0.347050241178715</v>
      </c>
      <c r="AO29" s="5">
        <v>-1.02</v>
      </c>
      <c r="AP29" s="5">
        <v>260.658615872357</v>
      </c>
      <c r="AQ29" s="5">
        <v>1.67669845728037</v>
      </c>
      <c r="AR29" s="5">
        <v>0</v>
      </c>
      <c r="AS29" s="5">
        <v>4.79453718407182</v>
      </c>
      <c r="AT29" s="5">
        <v>0</v>
      </c>
      <c r="AU29" s="5">
        <v>0</v>
      </c>
      <c r="AV29" s="5">
        <v>0</v>
      </c>
      <c r="AW29" s="5">
        <v>0</v>
      </c>
      <c r="AX29" s="5">
        <v>5.10652739484071</v>
      </c>
      <c r="AY29" s="5">
        <v>-6.60229166666667</v>
      </c>
      <c r="AZ29" s="5">
        <v>0.75</v>
      </c>
      <c r="BA29" s="5">
        <v>1</v>
      </c>
    </row>
    <row r="30" hidden="1" spans="1:53">
      <c r="A30" t="s">
        <v>53</v>
      </c>
      <c r="B30" t="s">
        <v>72</v>
      </c>
      <c r="C30" t="s">
        <v>55</v>
      </c>
      <c r="D30" s="4" t="s">
        <v>63</v>
      </c>
      <c r="E30">
        <v>0.292971</v>
      </c>
      <c r="F30">
        <v>6.7</v>
      </c>
      <c r="G30">
        <v>1</v>
      </c>
      <c r="H30">
        <v>17</v>
      </c>
      <c r="I30">
        <v>44</v>
      </c>
      <c r="J30">
        <v>36</v>
      </c>
      <c r="K30">
        <v>20</v>
      </c>
      <c r="L30" t="s">
        <v>57</v>
      </c>
      <c r="M30" t="s">
        <v>58</v>
      </c>
      <c r="N30" t="s">
        <v>59</v>
      </c>
      <c r="O30">
        <v>0.52205730864</v>
      </c>
      <c r="P30">
        <f t="shared" si="2"/>
        <v>1.78194192817719</v>
      </c>
      <c r="Q30">
        <f t="shared" si="1"/>
        <v>0.577703740513796</v>
      </c>
      <c r="R30">
        <v>150</v>
      </c>
      <c r="S30" t="s">
        <v>60</v>
      </c>
      <c r="T30" t="s">
        <v>61</v>
      </c>
      <c r="U30" t="s">
        <v>62</v>
      </c>
      <c r="V30">
        <v>1</v>
      </c>
      <c r="W30">
        <v>0</v>
      </c>
      <c r="X30">
        <v>1</v>
      </c>
      <c r="Y30">
        <v>1</v>
      </c>
      <c r="Z30">
        <v>0</v>
      </c>
      <c r="AA30">
        <v>0</v>
      </c>
      <c r="AB30">
        <v>1</v>
      </c>
      <c r="AC30">
        <v>0</v>
      </c>
      <c r="AD30">
        <v>1</v>
      </c>
      <c r="AE30" s="5">
        <v>12.2120833333333</v>
      </c>
      <c r="AF30" s="5">
        <v>7.00097222222222</v>
      </c>
      <c r="AG30" s="5">
        <v>0.642528075697275</v>
      </c>
      <c r="AH30" s="5">
        <v>16.1176470588235</v>
      </c>
      <c r="AI30" s="5">
        <v>0.459694901747447</v>
      </c>
      <c r="AJ30" s="5">
        <v>-0.280752981483328</v>
      </c>
      <c r="AK30" s="5">
        <v>0.459694901747447</v>
      </c>
      <c r="AL30" s="5">
        <v>0.280752981483328</v>
      </c>
      <c r="AM30" s="5">
        <v>10.1452721658031</v>
      </c>
      <c r="AN30" s="5">
        <v>-0.382289160206052</v>
      </c>
      <c r="AO30" s="5">
        <v>-0.72</v>
      </c>
      <c r="AP30" s="5">
        <v>1212.20967645111</v>
      </c>
      <c r="AQ30" s="5">
        <v>2.16502218725737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4.55274987369036</v>
      </c>
      <c r="AY30" s="5">
        <v>-7.13430555555556</v>
      </c>
      <c r="AZ30" s="5">
        <v>1</v>
      </c>
      <c r="BA30" s="5">
        <v>1</v>
      </c>
    </row>
    <row r="31" hidden="1" spans="1:53">
      <c r="A31" t="s">
        <v>53</v>
      </c>
      <c r="B31" t="s">
        <v>72</v>
      </c>
      <c r="C31" t="s">
        <v>55</v>
      </c>
      <c r="D31" s="4" t="s">
        <v>65</v>
      </c>
      <c r="E31">
        <v>0.0585899999999999</v>
      </c>
      <c r="F31">
        <v>6.7</v>
      </c>
      <c r="G31">
        <v>1</v>
      </c>
      <c r="H31">
        <v>17</v>
      </c>
      <c r="I31">
        <v>44</v>
      </c>
      <c r="J31">
        <v>36</v>
      </c>
      <c r="K31">
        <v>20</v>
      </c>
      <c r="L31" t="s">
        <v>57</v>
      </c>
      <c r="M31" t="s">
        <v>58</v>
      </c>
      <c r="N31" t="s">
        <v>59</v>
      </c>
      <c r="O31">
        <v>0.21528209856</v>
      </c>
      <c r="P31">
        <f t="shared" si="2"/>
        <v>3.67438297593447</v>
      </c>
      <c r="Q31">
        <f t="shared" si="1"/>
        <v>1.3013852208635</v>
      </c>
      <c r="R31">
        <v>150</v>
      </c>
      <c r="S31" t="s">
        <v>60</v>
      </c>
      <c r="T31" t="s">
        <v>61</v>
      </c>
      <c r="U31" t="s">
        <v>62</v>
      </c>
      <c r="V31">
        <v>1</v>
      </c>
      <c r="W31">
        <v>0</v>
      </c>
      <c r="X31">
        <v>1</v>
      </c>
      <c r="Y31">
        <v>1</v>
      </c>
      <c r="Z31">
        <v>0</v>
      </c>
      <c r="AA31">
        <v>0</v>
      </c>
      <c r="AB31">
        <v>1</v>
      </c>
      <c r="AC31">
        <v>0</v>
      </c>
      <c r="AD31">
        <v>1</v>
      </c>
      <c r="AE31" s="5">
        <v>12.6956944444444</v>
      </c>
      <c r="AF31" s="5">
        <v>7.51923752834467</v>
      </c>
      <c r="AG31" s="5">
        <v>0.567423483996869</v>
      </c>
      <c r="AH31" s="5">
        <v>16.6086956521739</v>
      </c>
      <c r="AI31" s="5">
        <v>0.459647303367286</v>
      </c>
      <c r="AJ31" s="5">
        <v>-0.280752999575136</v>
      </c>
      <c r="AK31" s="5">
        <v>0.459647303367286</v>
      </c>
      <c r="AL31" s="5">
        <v>0.280752999575136</v>
      </c>
      <c r="AM31" s="5">
        <v>9.97962409166519</v>
      </c>
      <c r="AN31" s="5">
        <v>-0.433260944725331</v>
      </c>
      <c r="AO31" s="5">
        <v>-1</v>
      </c>
      <c r="AP31" s="5">
        <v>14934.5346948423</v>
      </c>
      <c r="AQ31" s="5">
        <v>2.69882520469918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4.55274987369036</v>
      </c>
      <c r="AY31" s="5">
        <v>-7.5938637329932</v>
      </c>
      <c r="AZ31" s="5">
        <v>1</v>
      </c>
      <c r="BA31" s="5">
        <v>1</v>
      </c>
    </row>
    <row r="32" hidden="1" spans="1:53">
      <c r="A32" t="s">
        <v>53</v>
      </c>
      <c r="B32" t="s">
        <v>72</v>
      </c>
      <c r="C32" t="s">
        <v>55</v>
      </c>
      <c r="D32" s="4" t="s">
        <v>66</v>
      </c>
      <c r="E32">
        <v>0.31641</v>
      </c>
      <c r="F32">
        <v>6.7</v>
      </c>
      <c r="G32">
        <v>1</v>
      </c>
      <c r="H32">
        <v>17</v>
      </c>
      <c r="I32">
        <v>44</v>
      </c>
      <c r="J32">
        <v>36</v>
      </c>
      <c r="K32">
        <v>20</v>
      </c>
      <c r="L32" t="s">
        <v>57</v>
      </c>
      <c r="M32" t="s">
        <v>58</v>
      </c>
      <c r="N32" t="s">
        <v>59</v>
      </c>
      <c r="O32">
        <v>0.75347844312</v>
      </c>
      <c r="P32">
        <f t="shared" si="2"/>
        <v>2.3813357451408</v>
      </c>
      <c r="Q32">
        <f t="shared" si="1"/>
        <v>0.867661567702663</v>
      </c>
      <c r="R32">
        <v>150</v>
      </c>
      <c r="S32" t="s">
        <v>60</v>
      </c>
      <c r="T32" t="s">
        <v>61</v>
      </c>
      <c r="U32" t="s">
        <v>62</v>
      </c>
      <c r="V32">
        <v>1</v>
      </c>
      <c r="W32">
        <v>0</v>
      </c>
      <c r="X32">
        <v>1</v>
      </c>
      <c r="Y32">
        <v>1</v>
      </c>
      <c r="Z32">
        <v>0</v>
      </c>
      <c r="AA32">
        <v>0</v>
      </c>
      <c r="AB32">
        <v>1</v>
      </c>
      <c r="AC32">
        <v>0</v>
      </c>
      <c r="AD32">
        <v>1</v>
      </c>
      <c r="AE32" s="5">
        <v>12.8254166666667</v>
      </c>
      <c r="AF32" s="5">
        <v>4.27882137345679</v>
      </c>
      <c r="AG32" s="5">
        <v>0.653062667189842</v>
      </c>
      <c r="AH32" s="5">
        <v>16.12</v>
      </c>
      <c r="AI32" s="5">
        <v>0.459647294455008</v>
      </c>
      <c r="AJ32" s="5">
        <v>-0.47662745733429</v>
      </c>
      <c r="AK32" s="5">
        <v>0.47662745733429</v>
      </c>
      <c r="AL32" s="5">
        <v>0.459647294455008</v>
      </c>
      <c r="AM32" s="5">
        <v>9.90907137329749</v>
      </c>
      <c r="AN32" s="5">
        <v>-0.449718247791216</v>
      </c>
      <c r="AO32" s="5">
        <v>-1.58</v>
      </c>
      <c r="AP32" s="5">
        <v>39741.8973369129</v>
      </c>
      <c r="AQ32" s="5">
        <v>2.73920148528388</v>
      </c>
      <c r="AR32" s="5">
        <v>0</v>
      </c>
      <c r="AS32" s="5">
        <v>4.79453718407182</v>
      </c>
      <c r="AT32" s="5">
        <v>0</v>
      </c>
      <c r="AU32" s="5">
        <v>0</v>
      </c>
      <c r="AV32" s="5">
        <v>0</v>
      </c>
      <c r="AW32" s="5">
        <v>0</v>
      </c>
      <c r="AX32" s="5">
        <v>5.10652739484071</v>
      </c>
      <c r="AY32" s="5">
        <v>-7.69383775037793</v>
      </c>
      <c r="AZ32" s="5">
        <v>0.875</v>
      </c>
      <c r="BA32" s="5">
        <v>1</v>
      </c>
    </row>
    <row r="33" hidden="1" spans="1:53">
      <c r="A33" t="s">
        <v>53</v>
      </c>
      <c r="B33" t="s">
        <v>72</v>
      </c>
      <c r="C33" t="s">
        <v>55</v>
      </c>
      <c r="D33" s="4" t="s">
        <v>67</v>
      </c>
      <c r="E33">
        <v>0.11718</v>
      </c>
      <c r="F33">
        <v>6.7</v>
      </c>
      <c r="G33">
        <v>1</v>
      </c>
      <c r="H33">
        <v>17</v>
      </c>
      <c r="I33">
        <v>44</v>
      </c>
      <c r="J33">
        <v>36</v>
      </c>
      <c r="K33">
        <v>20</v>
      </c>
      <c r="L33" t="s">
        <v>57</v>
      </c>
      <c r="M33" t="s">
        <v>58</v>
      </c>
      <c r="N33" t="s">
        <v>59</v>
      </c>
      <c r="O33">
        <v>1.01181874176</v>
      </c>
      <c r="P33">
        <f t="shared" si="2"/>
        <v>8.63473921966206</v>
      </c>
      <c r="Q33">
        <f t="shared" si="1"/>
        <v>2.15579351075604</v>
      </c>
      <c r="R33">
        <v>150</v>
      </c>
      <c r="S33" t="s">
        <v>60</v>
      </c>
      <c r="T33" t="s">
        <v>61</v>
      </c>
      <c r="U33" t="s">
        <v>62</v>
      </c>
      <c r="V33">
        <v>1</v>
      </c>
      <c r="W33">
        <v>0</v>
      </c>
      <c r="X33">
        <v>1</v>
      </c>
      <c r="Y33">
        <v>1</v>
      </c>
      <c r="Z33">
        <v>0</v>
      </c>
      <c r="AA33">
        <v>0</v>
      </c>
      <c r="AB33">
        <v>1</v>
      </c>
      <c r="AC33">
        <v>0</v>
      </c>
      <c r="AD33">
        <v>1</v>
      </c>
      <c r="AE33" s="5">
        <v>13.0371419123205</v>
      </c>
      <c r="AF33" s="5">
        <v>7.66829457707096</v>
      </c>
      <c r="AG33" s="5">
        <v>0.402493807679921</v>
      </c>
      <c r="AH33" s="5">
        <v>16.8965517241379</v>
      </c>
      <c r="AI33" s="5">
        <v>0.459647294440031</v>
      </c>
      <c r="AJ33" s="5">
        <v>-0.280752999575314</v>
      </c>
      <c r="AK33" s="5">
        <v>0.459647294440031</v>
      </c>
      <c r="AL33" s="5">
        <v>0.280752999575314</v>
      </c>
      <c r="AM33" s="5">
        <v>9.90856544965598</v>
      </c>
      <c r="AN33" s="5">
        <v>-0.457885273814649</v>
      </c>
      <c r="AO33" s="5">
        <v>-1.28</v>
      </c>
      <c r="AP33" s="5">
        <v>176558.643253875</v>
      </c>
      <c r="AQ33" s="5">
        <v>3.26474212239717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4.55274987369036</v>
      </c>
      <c r="AY33" s="5">
        <v>-7.88274914441085</v>
      </c>
      <c r="AZ33" s="5">
        <v>1</v>
      </c>
      <c r="BA33" s="5">
        <v>1</v>
      </c>
    </row>
    <row r="34" hidden="1" spans="1:53">
      <c r="A34" t="s">
        <v>53</v>
      </c>
      <c r="B34" t="s">
        <v>72</v>
      </c>
      <c r="C34" t="s">
        <v>55</v>
      </c>
      <c r="D34" s="4" t="s">
        <v>68</v>
      </c>
      <c r="E34">
        <v>0.0351599999999999</v>
      </c>
      <c r="F34">
        <v>6.7</v>
      </c>
      <c r="G34">
        <v>1</v>
      </c>
      <c r="H34">
        <v>17</v>
      </c>
      <c r="I34">
        <v>44</v>
      </c>
      <c r="J34">
        <v>36</v>
      </c>
      <c r="K34">
        <v>20</v>
      </c>
      <c r="L34" t="s">
        <v>57</v>
      </c>
      <c r="M34" t="s">
        <v>58</v>
      </c>
      <c r="N34" t="s">
        <v>59</v>
      </c>
      <c r="O34">
        <v>0.81806574324</v>
      </c>
      <c r="P34">
        <f t="shared" si="2"/>
        <v>23.2669437781571</v>
      </c>
      <c r="Q34">
        <f t="shared" si="1"/>
        <v>3.14703363126527</v>
      </c>
      <c r="R34">
        <v>150</v>
      </c>
      <c r="S34" t="s">
        <v>60</v>
      </c>
      <c r="T34" t="s">
        <v>61</v>
      </c>
      <c r="U34" t="s">
        <v>62</v>
      </c>
      <c r="V34">
        <v>1</v>
      </c>
      <c r="W34">
        <v>0</v>
      </c>
      <c r="X34">
        <v>1</v>
      </c>
      <c r="Y34">
        <v>1</v>
      </c>
      <c r="Z34">
        <v>0</v>
      </c>
      <c r="AA34">
        <v>0</v>
      </c>
      <c r="AB34">
        <v>1</v>
      </c>
      <c r="AC34">
        <v>0</v>
      </c>
      <c r="AD34">
        <v>1</v>
      </c>
      <c r="AE34" s="5">
        <v>12.1252083333333</v>
      </c>
      <c r="AF34" s="5">
        <v>3.79034722222222</v>
      </c>
      <c r="AG34" s="5">
        <v>0.795108310685598</v>
      </c>
      <c r="AH34" s="5">
        <v>15.0625</v>
      </c>
      <c r="AI34" s="5">
        <v>0.459665733935349</v>
      </c>
      <c r="AJ34" s="5">
        <v>-0.476627440416371</v>
      </c>
      <c r="AK34" s="5">
        <v>0.476627440416371</v>
      </c>
      <c r="AL34" s="5">
        <v>0.459665733935349</v>
      </c>
      <c r="AM34" s="5">
        <v>10.044436145131</v>
      </c>
      <c r="AN34" s="5">
        <v>-0.389909625311938</v>
      </c>
      <c r="AO34" s="5">
        <v>-1.16</v>
      </c>
      <c r="AP34" s="5">
        <v>939.726830541714</v>
      </c>
      <c r="AQ34" s="5">
        <v>1.77550667912426</v>
      </c>
      <c r="AR34" s="5">
        <v>0</v>
      </c>
      <c r="AS34" s="5">
        <v>4.79453718407182</v>
      </c>
      <c r="AT34" s="5">
        <v>0</v>
      </c>
      <c r="AU34" s="5">
        <v>0</v>
      </c>
      <c r="AV34" s="5">
        <v>0</v>
      </c>
      <c r="AW34" s="5">
        <v>0</v>
      </c>
      <c r="AX34" s="5">
        <v>5.10652739484071</v>
      </c>
      <c r="AY34" s="5">
        <v>-7.00458333333333</v>
      </c>
      <c r="AZ34" s="5">
        <v>0.8</v>
      </c>
      <c r="BA34" s="5">
        <v>1</v>
      </c>
    </row>
    <row r="35" hidden="1" spans="1:53">
      <c r="A35" t="s">
        <v>53</v>
      </c>
      <c r="B35" t="s">
        <v>73</v>
      </c>
      <c r="C35" t="s">
        <v>55</v>
      </c>
      <c r="D35" s="4" t="s">
        <v>65</v>
      </c>
      <c r="E35">
        <v>0.058594</v>
      </c>
      <c r="F35">
        <v>6.7</v>
      </c>
      <c r="G35">
        <v>1</v>
      </c>
      <c r="H35">
        <v>17</v>
      </c>
      <c r="I35">
        <v>44</v>
      </c>
      <c r="J35">
        <v>36</v>
      </c>
      <c r="K35">
        <v>20</v>
      </c>
      <c r="L35" t="s">
        <v>57</v>
      </c>
      <c r="M35" t="s">
        <v>58</v>
      </c>
      <c r="N35" t="s">
        <v>59</v>
      </c>
      <c r="O35">
        <v>0.473715436968</v>
      </c>
      <c r="P35">
        <f t="shared" si="2"/>
        <v>8.08470896282896</v>
      </c>
      <c r="Q35">
        <f t="shared" si="1"/>
        <v>2.08997449520478</v>
      </c>
      <c r="R35">
        <v>150</v>
      </c>
      <c r="S35" t="s">
        <v>60</v>
      </c>
      <c r="T35" t="s">
        <v>61</v>
      </c>
      <c r="U35" t="s">
        <v>62</v>
      </c>
      <c r="V35">
        <v>1</v>
      </c>
      <c r="W35">
        <v>0</v>
      </c>
      <c r="X35">
        <v>1</v>
      </c>
      <c r="Y35">
        <v>1</v>
      </c>
      <c r="Z35">
        <v>0</v>
      </c>
      <c r="AA35">
        <v>0</v>
      </c>
      <c r="AB35">
        <v>1</v>
      </c>
      <c r="AC35">
        <v>0</v>
      </c>
      <c r="AD35">
        <v>1</v>
      </c>
      <c r="AE35" s="5">
        <v>12.6956944444444</v>
      </c>
      <c r="AF35" s="5">
        <v>7.51923752834467</v>
      </c>
      <c r="AG35" s="5">
        <v>0.567423483996869</v>
      </c>
      <c r="AH35" s="5">
        <v>16.6086956521739</v>
      </c>
      <c r="AI35" s="5">
        <v>0.459647303367286</v>
      </c>
      <c r="AJ35" s="5">
        <v>-0.280752999575136</v>
      </c>
      <c r="AK35" s="5">
        <v>0.459647303367286</v>
      </c>
      <c r="AL35" s="5">
        <v>0.280752999575136</v>
      </c>
      <c r="AM35" s="5">
        <v>9.97962409166519</v>
      </c>
      <c r="AN35" s="5">
        <v>-0.433260944725331</v>
      </c>
      <c r="AO35" s="5">
        <v>-1</v>
      </c>
      <c r="AP35" s="5">
        <v>14934.5346948423</v>
      </c>
      <c r="AQ35" s="5">
        <v>2.69882520469918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4.55274987369036</v>
      </c>
      <c r="AY35" s="5">
        <v>-7.5938637329932</v>
      </c>
      <c r="AZ35" s="5">
        <v>1</v>
      </c>
      <c r="BA35" s="5">
        <v>1</v>
      </c>
    </row>
    <row r="36" hidden="1" spans="1:53">
      <c r="A36" t="s">
        <v>53</v>
      </c>
      <c r="B36" t="s">
        <v>73</v>
      </c>
      <c r="C36" t="s">
        <v>55</v>
      </c>
      <c r="D36" s="4" t="s">
        <v>66</v>
      </c>
      <c r="E36">
        <v>0.64453</v>
      </c>
      <c r="F36">
        <v>6.7</v>
      </c>
      <c r="G36">
        <v>1</v>
      </c>
      <c r="H36">
        <v>17</v>
      </c>
      <c r="I36">
        <v>44</v>
      </c>
      <c r="J36">
        <v>36</v>
      </c>
      <c r="K36">
        <v>20</v>
      </c>
      <c r="L36" t="s">
        <v>57</v>
      </c>
      <c r="M36" t="s">
        <v>58</v>
      </c>
      <c r="N36" t="s">
        <v>59</v>
      </c>
      <c r="O36">
        <v>2.23194183036</v>
      </c>
      <c r="P36">
        <f t="shared" si="2"/>
        <v>3.46289828302794</v>
      </c>
      <c r="Q36">
        <f t="shared" si="1"/>
        <v>1.24210589248759</v>
      </c>
      <c r="R36">
        <v>150</v>
      </c>
      <c r="S36" t="s">
        <v>60</v>
      </c>
      <c r="T36" t="s">
        <v>61</v>
      </c>
      <c r="U36" t="s">
        <v>62</v>
      </c>
      <c r="V36">
        <v>1</v>
      </c>
      <c r="W36">
        <v>0</v>
      </c>
      <c r="X36">
        <v>1</v>
      </c>
      <c r="Y36">
        <v>1</v>
      </c>
      <c r="Z36">
        <v>0</v>
      </c>
      <c r="AA36">
        <v>0</v>
      </c>
      <c r="AB36">
        <v>1</v>
      </c>
      <c r="AC36">
        <v>0</v>
      </c>
      <c r="AD36">
        <v>1</v>
      </c>
      <c r="AE36" s="5">
        <v>12.8254166666667</v>
      </c>
      <c r="AF36" s="5">
        <v>4.27882137345679</v>
      </c>
      <c r="AG36" s="5">
        <v>0.653062667189842</v>
      </c>
      <c r="AH36" s="5">
        <v>16.12</v>
      </c>
      <c r="AI36" s="5">
        <v>0.459647294455008</v>
      </c>
      <c r="AJ36" s="5">
        <v>-0.47662745733429</v>
      </c>
      <c r="AK36" s="5">
        <v>0.47662745733429</v>
      </c>
      <c r="AL36" s="5">
        <v>0.459647294455008</v>
      </c>
      <c r="AM36" s="5">
        <v>9.90907137329749</v>
      </c>
      <c r="AN36" s="5">
        <v>-0.449718247791216</v>
      </c>
      <c r="AO36" s="5">
        <v>-1.58</v>
      </c>
      <c r="AP36" s="5">
        <v>39741.8973369129</v>
      </c>
      <c r="AQ36" s="5">
        <v>2.73920148528388</v>
      </c>
      <c r="AR36" s="5">
        <v>0</v>
      </c>
      <c r="AS36" s="5">
        <v>4.79453718407182</v>
      </c>
      <c r="AT36" s="5">
        <v>0</v>
      </c>
      <c r="AU36" s="5">
        <v>0</v>
      </c>
      <c r="AV36" s="5">
        <v>0</v>
      </c>
      <c r="AW36" s="5">
        <v>0</v>
      </c>
      <c r="AX36" s="5">
        <v>5.10652739484071</v>
      </c>
      <c r="AY36" s="5">
        <v>-7.69383775037793</v>
      </c>
      <c r="AZ36" s="5">
        <v>0.875</v>
      </c>
      <c r="BA36" s="5">
        <v>1</v>
      </c>
    </row>
    <row r="37" hidden="1" spans="1:53">
      <c r="A37" t="s">
        <v>53</v>
      </c>
      <c r="B37" t="s">
        <v>73</v>
      </c>
      <c r="C37" t="s">
        <v>55</v>
      </c>
      <c r="D37" s="4" t="s">
        <v>67</v>
      </c>
      <c r="E37">
        <v>0.0234399999999999</v>
      </c>
      <c r="F37">
        <v>6.7</v>
      </c>
      <c r="G37">
        <v>1</v>
      </c>
      <c r="H37">
        <v>17</v>
      </c>
      <c r="I37">
        <v>44</v>
      </c>
      <c r="J37">
        <v>36</v>
      </c>
      <c r="K37">
        <v>20</v>
      </c>
      <c r="L37" t="s">
        <v>57</v>
      </c>
      <c r="M37" t="s">
        <v>58</v>
      </c>
      <c r="N37" t="s">
        <v>59</v>
      </c>
      <c r="O37">
        <v>3.39801338004</v>
      </c>
      <c r="P37">
        <f t="shared" si="2"/>
        <v>144.966441127987</v>
      </c>
      <c r="Q37">
        <f t="shared" si="1"/>
        <v>4.97650227513745</v>
      </c>
      <c r="R37">
        <v>150</v>
      </c>
      <c r="S37" t="s">
        <v>60</v>
      </c>
      <c r="T37" t="s">
        <v>61</v>
      </c>
      <c r="U37" t="s">
        <v>62</v>
      </c>
      <c r="V37">
        <v>1</v>
      </c>
      <c r="W37">
        <v>0</v>
      </c>
      <c r="X37">
        <v>1</v>
      </c>
      <c r="Y37">
        <v>1</v>
      </c>
      <c r="Z37">
        <v>0</v>
      </c>
      <c r="AA37">
        <v>0</v>
      </c>
      <c r="AB37">
        <v>1</v>
      </c>
      <c r="AC37">
        <v>0</v>
      </c>
      <c r="AD37">
        <v>1</v>
      </c>
      <c r="AE37" s="5">
        <v>13.0371419123205</v>
      </c>
      <c r="AF37" s="5">
        <v>7.66829457707096</v>
      </c>
      <c r="AG37" s="5">
        <v>0.402493807679921</v>
      </c>
      <c r="AH37" s="5">
        <v>16.8965517241379</v>
      </c>
      <c r="AI37" s="5">
        <v>0.459647294440031</v>
      </c>
      <c r="AJ37" s="5">
        <v>-0.280752999575314</v>
      </c>
      <c r="AK37" s="5">
        <v>0.459647294440031</v>
      </c>
      <c r="AL37" s="5">
        <v>0.280752999575314</v>
      </c>
      <c r="AM37" s="5">
        <v>9.90856544965598</v>
      </c>
      <c r="AN37" s="5">
        <v>-0.457885273814649</v>
      </c>
      <c r="AO37" s="5">
        <v>-1.28</v>
      </c>
      <c r="AP37" s="5">
        <v>176558.643253875</v>
      </c>
      <c r="AQ37" s="5">
        <v>3.26474212239717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4.55274987369036</v>
      </c>
      <c r="AY37" s="5">
        <v>-7.88274914441085</v>
      </c>
      <c r="AZ37" s="5">
        <v>1</v>
      </c>
      <c r="BA37" s="5">
        <v>1</v>
      </c>
    </row>
    <row r="38" hidden="1" spans="1:53">
      <c r="A38" t="s">
        <v>53</v>
      </c>
      <c r="B38" t="s">
        <v>74</v>
      </c>
      <c r="C38" t="s">
        <v>55</v>
      </c>
      <c r="D38" s="4" t="s">
        <v>63</v>
      </c>
      <c r="E38">
        <v>0.175782</v>
      </c>
      <c r="F38">
        <v>6.7</v>
      </c>
      <c r="G38">
        <v>1</v>
      </c>
      <c r="H38">
        <v>17</v>
      </c>
      <c r="I38">
        <v>44</v>
      </c>
      <c r="J38">
        <v>36</v>
      </c>
      <c r="K38">
        <v>20</v>
      </c>
      <c r="L38" t="s">
        <v>57</v>
      </c>
      <c r="M38" t="s">
        <v>58</v>
      </c>
      <c r="N38" t="s">
        <v>59</v>
      </c>
      <c r="O38">
        <v>0.289861727932</v>
      </c>
      <c r="P38">
        <f t="shared" si="2"/>
        <v>1.64898412768088</v>
      </c>
      <c r="Q38">
        <f t="shared" si="1"/>
        <v>0.500159418110202</v>
      </c>
      <c r="R38">
        <v>150</v>
      </c>
      <c r="S38" t="s">
        <v>60</v>
      </c>
      <c r="T38" t="s">
        <v>61</v>
      </c>
      <c r="U38" t="s">
        <v>62</v>
      </c>
      <c r="V38">
        <v>1</v>
      </c>
      <c r="W38">
        <v>0</v>
      </c>
      <c r="X38">
        <v>1</v>
      </c>
      <c r="Y38">
        <v>1</v>
      </c>
      <c r="Z38">
        <v>0</v>
      </c>
      <c r="AA38">
        <v>0</v>
      </c>
      <c r="AB38">
        <v>1</v>
      </c>
      <c r="AC38">
        <v>0</v>
      </c>
      <c r="AD38">
        <v>1</v>
      </c>
      <c r="AE38" s="5">
        <v>12.2120833333333</v>
      </c>
      <c r="AF38" s="5">
        <v>7.00097222222222</v>
      </c>
      <c r="AG38" s="5">
        <v>0.642528075697275</v>
      </c>
      <c r="AH38" s="5">
        <v>16.1176470588235</v>
      </c>
      <c r="AI38" s="5">
        <v>0.459694901747447</v>
      </c>
      <c r="AJ38" s="5">
        <v>-0.280752981483328</v>
      </c>
      <c r="AK38" s="5">
        <v>0.459694901747447</v>
      </c>
      <c r="AL38" s="5">
        <v>0.280752981483328</v>
      </c>
      <c r="AM38" s="5">
        <v>10.1452721658031</v>
      </c>
      <c r="AN38" s="5">
        <v>-0.382289160206052</v>
      </c>
      <c r="AO38" s="5">
        <v>-0.72</v>
      </c>
      <c r="AP38" s="5">
        <v>1212.20967645111</v>
      </c>
      <c r="AQ38" s="5">
        <v>2.16502218725737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4.55274987369036</v>
      </c>
      <c r="AY38" s="5">
        <v>-7.13430555555556</v>
      </c>
      <c r="AZ38" s="5">
        <v>1</v>
      </c>
      <c r="BA38" s="5">
        <v>1</v>
      </c>
    </row>
    <row r="39" hidden="1" spans="1:53">
      <c r="A39" t="s">
        <v>53</v>
      </c>
      <c r="B39" t="s">
        <v>74</v>
      </c>
      <c r="C39" t="s">
        <v>55</v>
      </c>
      <c r="D39" s="4" t="s">
        <v>64</v>
      </c>
      <c r="E39">
        <v>0.023437</v>
      </c>
      <c r="F39">
        <v>6.7</v>
      </c>
      <c r="G39">
        <v>1</v>
      </c>
      <c r="H39">
        <v>17</v>
      </c>
      <c r="I39">
        <v>44</v>
      </c>
      <c r="J39">
        <v>36</v>
      </c>
      <c r="K39">
        <v>20</v>
      </c>
      <c r="L39" t="s">
        <v>57</v>
      </c>
      <c r="M39" t="s">
        <v>58</v>
      </c>
      <c r="N39" t="s">
        <v>59</v>
      </c>
      <c r="O39">
        <v>0.162322081818</v>
      </c>
      <c r="P39">
        <f t="shared" si="2"/>
        <v>6.92588990988608</v>
      </c>
      <c r="Q39">
        <f t="shared" si="1"/>
        <v>1.93526655065986</v>
      </c>
      <c r="R39">
        <v>150</v>
      </c>
      <c r="S39" t="s">
        <v>60</v>
      </c>
      <c r="T39" t="s">
        <v>61</v>
      </c>
      <c r="U39" t="s">
        <v>62</v>
      </c>
      <c r="V39">
        <v>1</v>
      </c>
      <c r="W39">
        <v>0</v>
      </c>
      <c r="X39">
        <v>1</v>
      </c>
      <c r="Y39">
        <v>1</v>
      </c>
      <c r="Z39">
        <v>0</v>
      </c>
      <c r="AA39">
        <v>0</v>
      </c>
      <c r="AB39">
        <v>1</v>
      </c>
      <c r="AC39">
        <v>0</v>
      </c>
      <c r="AD39">
        <v>1</v>
      </c>
      <c r="AE39" s="5">
        <v>12.3952083333333</v>
      </c>
      <c r="AF39" s="5">
        <v>3.99060232426304</v>
      </c>
      <c r="AG39" s="5">
        <v>0.809418673219238</v>
      </c>
      <c r="AH39" s="5">
        <v>15.5263157894737</v>
      </c>
      <c r="AI39" s="5">
        <v>0.459647654411774</v>
      </c>
      <c r="AJ39" s="5">
        <v>-0.476627457257861</v>
      </c>
      <c r="AK39" s="5">
        <v>0.476627457257861</v>
      </c>
      <c r="AL39" s="5">
        <v>0.459647654411774</v>
      </c>
      <c r="AM39" s="5">
        <v>9.98060231888395</v>
      </c>
      <c r="AN39" s="5">
        <v>-0.417658943556199</v>
      </c>
      <c r="AO39" s="5">
        <v>-1.3</v>
      </c>
      <c r="AP39" s="5">
        <v>3314.44680161703</v>
      </c>
      <c r="AQ39" s="5">
        <v>2.17852386673025</v>
      </c>
      <c r="AR39" s="5">
        <v>0</v>
      </c>
      <c r="AS39" s="5">
        <v>4.79453718407182</v>
      </c>
      <c r="AT39" s="5">
        <v>0</v>
      </c>
      <c r="AU39" s="5">
        <v>0</v>
      </c>
      <c r="AV39" s="5">
        <v>0</v>
      </c>
      <c r="AW39" s="5">
        <v>0</v>
      </c>
      <c r="AX39" s="5">
        <v>5.10652739484071</v>
      </c>
      <c r="AY39" s="5">
        <v>-7.29710978835979</v>
      </c>
      <c r="AZ39" s="5">
        <v>0.833333333333333</v>
      </c>
      <c r="BA39" s="5">
        <v>1</v>
      </c>
    </row>
    <row r="40" hidden="1" spans="1:53">
      <c r="A40" t="s">
        <v>53</v>
      </c>
      <c r="B40" t="s">
        <v>74</v>
      </c>
      <c r="C40" t="s">
        <v>55</v>
      </c>
      <c r="D40" s="4" t="s">
        <v>65</v>
      </c>
      <c r="E40">
        <v>0.11719</v>
      </c>
      <c r="F40">
        <v>6.7</v>
      </c>
      <c r="G40">
        <v>1</v>
      </c>
      <c r="H40">
        <v>17</v>
      </c>
      <c r="I40">
        <v>44</v>
      </c>
      <c r="J40">
        <v>36</v>
      </c>
      <c r="K40">
        <v>20</v>
      </c>
      <c r="L40" t="s">
        <v>57</v>
      </c>
      <c r="M40" t="s">
        <v>58</v>
      </c>
      <c r="N40" t="s">
        <v>59</v>
      </c>
      <c r="O40">
        <v>0.14686265329</v>
      </c>
      <c r="P40">
        <f t="shared" si="2"/>
        <v>1.25320123978155</v>
      </c>
      <c r="Q40">
        <f t="shared" si="1"/>
        <v>0.225701269388062</v>
      </c>
      <c r="R40">
        <v>150</v>
      </c>
      <c r="S40" t="s">
        <v>60</v>
      </c>
      <c r="T40" t="s">
        <v>61</v>
      </c>
      <c r="U40" t="s">
        <v>62</v>
      </c>
      <c r="V40">
        <v>1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0</v>
      </c>
      <c r="AD40">
        <v>1</v>
      </c>
      <c r="AE40" s="5">
        <v>12.6956944444444</v>
      </c>
      <c r="AF40" s="5">
        <v>7.51923752834467</v>
      </c>
      <c r="AG40" s="5">
        <v>0.567423483996869</v>
      </c>
      <c r="AH40" s="5">
        <v>16.6086956521739</v>
      </c>
      <c r="AI40" s="5">
        <v>0.459647303367286</v>
      </c>
      <c r="AJ40" s="5">
        <v>-0.280752999575136</v>
      </c>
      <c r="AK40" s="5">
        <v>0.459647303367286</v>
      </c>
      <c r="AL40" s="5">
        <v>0.280752999575136</v>
      </c>
      <c r="AM40" s="5">
        <v>9.97962409166519</v>
      </c>
      <c r="AN40" s="5">
        <v>-0.433260944725331</v>
      </c>
      <c r="AO40" s="5">
        <v>-1</v>
      </c>
      <c r="AP40" s="5">
        <v>14934.5346948423</v>
      </c>
      <c r="AQ40" s="5">
        <v>2.69882520469918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4.55274987369036</v>
      </c>
      <c r="AY40" s="5">
        <v>-7.5938637329932</v>
      </c>
      <c r="AZ40" s="5">
        <v>1</v>
      </c>
      <c r="BA40" s="5">
        <v>1</v>
      </c>
    </row>
    <row r="41" hidden="1" spans="1:53">
      <c r="A41" t="s">
        <v>53</v>
      </c>
      <c r="B41" t="s">
        <v>74</v>
      </c>
      <c r="C41" t="s">
        <v>55</v>
      </c>
      <c r="D41" s="4" t="s">
        <v>66</v>
      </c>
      <c r="E41">
        <v>0.29297</v>
      </c>
      <c r="F41">
        <v>6.7</v>
      </c>
      <c r="G41">
        <v>1</v>
      </c>
      <c r="H41">
        <v>17</v>
      </c>
      <c r="I41">
        <v>44</v>
      </c>
      <c r="J41">
        <v>36</v>
      </c>
      <c r="K41">
        <v>20</v>
      </c>
      <c r="L41" t="s">
        <v>57</v>
      </c>
      <c r="M41" t="s">
        <v>58</v>
      </c>
      <c r="N41" t="s">
        <v>59</v>
      </c>
      <c r="O41">
        <v>0.68407523767</v>
      </c>
      <c r="P41">
        <f t="shared" si="2"/>
        <v>2.33496684872171</v>
      </c>
      <c r="Q41">
        <f t="shared" si="1"/>
        <v>0.847997693470487</v>
      </c>
      <c r="R41">
        <v>150</v>
      </c>
      <c r="S41" t="s">
        <v>60</v>
      </c>
      <c r="T41" t="s">
        <v>61</v>
      </c>
      <c r="U41" t="s">
        <v>62</v>
      </c>
      <c r="V41">
        <v>1</v>
      </c>
      <c r="W41">
        <v>0</v>
      </c>
      <c r="X41">
        <v>1</v>
      </c>
      <c r="Y41">
        <v>1</v>
      </c>
      <c r="Z41">
        <v>0</v>
      </c>
      <c r="AA41">
        <v>0</v>
      </c>
      <c r="AB41">
        <v>1</v>
      </c>
      <c r="AC41">
        <v>0</v>
      </c>
      <c r="AD41">
        <v>1</v>
      </c>
      <c r="AE41" s="5">
        <v>12.8254166666667</v>
      </c>
      <c r="AF41" s="5">
        <v>4.27882137345679</v>
      </c>
      <c r="AG41" s="5">
        <v>0.653062667189842</v>
      </c>
      <c r="AH41" s="5">
        <v>16.12</v>
      </c>
      <c r="AI41" s="5">
        <v>0.459647294455008</v>
      </c>
      <c r="AJ41" s="5">
        <v>-0.47662745733429</v>
      </c>
      <c r="AK41" s="5">
        <v>0.47662745733429</v>
      </c>
      <c r="AL41" s="5">
        <v>0.459647294455008</v>
      </c>
      <c r="AM41" s="5">
        <v>9.90907137329749</v>
      </c>
      <c r="AN41" s="5">
        <v>-0.449718247791216</v>
      </c>
      <c r="AO41" s="5">
        <v>-1.58</v>
      </c>
      <c r="AP41" s="5">
        <v>39741.8973369129</v>
      </c>
      <c r="AQ41" s="5">
        <v>2.73920148528388</v>
      </c>
      <c r="AR41" s="5">
        <v>0</v>
      </c>
      <c r="AS41" s="5">
        <v>4.79453718407182</v>
      </c>
      <c r="AT41" s="5">
        <v>0</v>
      </c>
      <c r="AU41" s="5">
        <v>0</v>
      </c>
      <c r="AV41" s="5">
        <v>0</v>
      </c>
      <c r="AW41" s="5">
        <v>0</v>
      </c>
      <c r="AX41" s="5">
        <v>5.10652739484071</v>
      </c>
      <c r="AY41" s="5">
        <v>-7.69383775037793</v>
      </c>
      <c r="AZ41" s="5">
        <v>0.875</v>
      </c>
      <c r="BA41" s="5">
        <v>1</v>
      </c>
    </row>
    <row r="42" hidden="1" spans="1:53">
      <c r="A42" t="s">
        <v>53</v>
      </c>
      <c r="B42" t="s">
        <v>74</v>
      </c>
      <c r="C42" t="s">
        <v>55</v>
      </c>
      <c r="D42" s="4" t="s">
        <v>67</v>
      </c>
      <c r="E42">
        <v>0.0586</v>
      </c>
      <c r="F42">
        <v>6.7</v>
      </c>
      <c r="G42">
        <v>1</v>
      </c>
      <c r="H42">
        <v>17</v>
      </c>
      <c r="I42">
        <v>44</v>
      </c>
      <c r="J42">
        <v>36</v>
      </c>
      <c r="K42">
        <v>20</v>
      </c>
      <c r="L42" t="s">
        <v>57</v>
      </c>
      <c r="M42" t="s">
        <v>58</v>
      </c>
      <c r="N42" t="s">
        <v>59</v>
      </c>
      <c r="O42">
        <v>1.13239482953</v>
      </c>
      <c r="P42">
        <f t="shared" si="2"/>
        <v>19.3241438486348</v>
      </c>
      <c r="Q42">
        <f t="shared" si="1"/>
        <v>2.96135529070476</v>
      </c>
      <c r="R42">
        <v>150</v>
      </c>
      <c r="S42" t="s">
        <v>60</v>
      </c>
      <c r="T42" t="s">
        <v>61</v>
      </c>
      <c r="U42" t="s">
        <v>62</v>
      </c>
      <c r="V42">
        <v>1</v>
      </c>
      <c r="W42">
        <v>0</v>
      </c>
      <c r="X42">
        <v>1</v>
      </c>
      <c r="Y42">
        <v>1</v>
      </c>
      <c r="Z42">
        <v>0</v>
      </c>
      <c r="AA42">
        <v>0</v>
      </c>
      <c r="AB42">
        <v>1</v>
      </c>
      <c r="AC42">
        <v>0</v>
      </c>
      <c r="AD42">
        <v>1</v>
      </c>
      <c r="AE42" s="5">
        <v>13.0371419123205</v>
      </c>
      <c r="AF42" s="5">
        <v>7.66829457707096</v>
      </c>
      <c r="AG42" s="5">
        <v>0.402493807679921</v>
      </c>
      <c r="AH42" s="5">
        <v>16.8965517241379</v>
      </c>
      <c r="AI42" s="5">
        <v>0.459647294440031</v>
      </c>
      <c r="AJ42" s="5">
        <v>-0.280752999575314</v>
      </c>
      <c r="AK42" s="5">
        <v>0.459647294440031</v>
      </c>
      <c r="AL42" s="5">
        <v>0.280752999575314</v>
      </c>
      <c r="AM42" s="5">
        <v>9.90856544965598</v>
      </c>
      <c r="AN42" s="5">
        <v>-0.457885273814649</v>
      </c>
      <c r="AO42" s="5">
        <v>-1.28</v>
      </c>
      <c r="AP42" s="5">
        <v>176558.643253875</v>
      </c>
      <c r="AQ42" s="5">
        <v>3.26474212239717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4.55274987369036</v>
      </c>
      <c r="AY42" s="5">
        <v>-7.88274914441085</v>
      </c>
      <c r="AZ42" s="5">
        <v>1</v>
      </c>
      <c r="BA42" s="5">
        <v>1</v>
      </c>
    </row>
    <row r="43" hidden="1" spans="1:53">
      <c r="A43" t="s">
        <v>53</v>
      </c>
      <c r="B43" t="s">
        <v>74</v>
      </c>
      <c r="C43" t="s">
        <v>55</v>
      </c>
      <c r="D43" s="4" t="s">
        <v>68</v>
      </c>
      <c r="E43">
        <v>0.0234299999999998</v>
      </c>
      <c r="F43">
        <v>6.7</v>
      </c>
      <c r="G43">
        <v>1</v>
      </c>
      <c r="H43">
        <v>17</v>
      </c>
      <c r="I43">
        <v>44</v>
      </c>
      <c r="J43">
        <v>36</v>
      </c>
      <c r="K43">
        <v>20</v>
      </c>
      <c r="L43" t="s">
        <v>57</v>
      </c>
      <c r="M43" t="s">
        <v>58</v>
      </c>
      <c r="N43" t="s">
        <v>59</v>
      </c>
      <c r="O43">
        <v>0.78069346976</v>
      </c>
      <c r="P43">
        <f t="shared" si="2"/>
        <v>33.3202505232611</v>
      </c>
      <c r="Q43">
        <f t="shared" si="1"/>
        <v>3.50616533597569</v>
      </c>
      <c r="R43">
        <v>150</v>
      </c>
      <c r="S43" t="s">
        <v>60</v>
      </c>
      <c r="T43" t="s">
        <v>61</v>
      </c>
      <c r="U43" t="s">
        <v>62</v>
      </c>
      <c r="V43">
        <v>1</v>
      </c>
      <c r="W43">
        <v>0</v>
      </c>
      <c r="X43">
        <v>1</v>
      </c>
      <c r="Y43">
        <v>1</v>
      </c>
      <c r="Z43">
        <v>0</v>
      </c>
      <c r="AA43">
        <v>0</v>
      </c>
      <c r="AB43">
        <v>1</v>
      </c>
      <c r="AC43">
        <v>0</v>
      </c>
      <c r="AD43">
        <v>1</v>
      </c>
      <c r="AE43" s="5">
        <v>12.1252083333333</v>
      </c>
      <c r="AF43" s="5">
        <v>3.79034722222222</v>
      </c>
      <c r="AG43" s="5">
        <v>0.795108310685598</v>
      </c>
      <c r="AH43" s="5">
        <v>15.0625</v>
      </c>
      <c r="AI43" s="5">
        <v>0.459665733935349</v>
      </c>
      <c r="AJ43" s="5">
        <v>-0.476627440416371</v>
      </c>
      <c r="AK43" s="5">
        <v>0.476627440416371</v>
      </c>
      <c r="AL43" s="5">
        <v>0.459665733935349</v>
      </c>
      <c r="AM43" s="5">
        <v>10.044436145131</v>
      </c>
      <c r="AN43" s="5">
        <v>-0.389909625311938</v>
      </c>
      <c r="AO43" s="5">
        <v>-1.16</v>
      </c>
      <c r="AP43" s="5">
        <v>939.726830541714</v>
      </c>
      <c r="AQ43" s="5">
        <v>1.77550667912426</v>
      </c>
      <c r="AR43" s="5">
        <v>0</v>
      </c>
      <c r="AS43" s="5">
        <v>4.79453718407182</v>
      </c>
      <c r="AT43" s="5">
        <v>0</v>
      </c>
      <c r="AU43" s="5">
        <v>0</v>
      </c>
      <c r="AV43" s="5">
        <v>0</v>
      </c>
      <c r="AW43" s="5">
        <v>0</v>
      </c>
      <c r="AX43" s="5">
        <v>5.10652739484071</v>
      </c>
      <c r="AY43" s="5">
        <v>-7.00458333333333</v>
      </c>
      <c r="AZ43" s="5">
        <v>0.8</v>
      </c>
      <c r="BA43" s="5">
        <v>1</v>
      </c>
    </row>
    <row r="44" hidden="1" spans="1:53">
      <c r="A44" t="s">
        <v>53</v>
      </c>
      <c r="B44" t="s">
        <v>75</v>
      </c>
      <c r="C44" t="s">
        <v>55</v>
      </c>
      <c r="D44" s="4" t="s">
        <v>63</v>
      </c>
      <c r="E44">
        <v>0.257815</v>
      </c>
      <c r="F44">
        <v>6.7</v>
      </c>
      <c r="G44">
        <v>1</v>
      </c>
      <c r="H44">
        <v>17</v>
      </c>
      <c r="I44">
        <v>44</v>
      </c>
      <c r="J44">
        <v>36</v>
      </c>
      <c r="K44">
        <v>20</v>
      </c>
      <c r="L44" t="s">
        <v>57</v>
      </c>
      <c r="M44" t="s">
        <v>58</v>
      </c>
      <c r="N44" t="s">
        <v>59</v>
      </c>
      <c r="O44">
        <v>0.42065563894</v>
      </c>
      <c r="P44">
        <f t="shared" si="2"/>
        <v>1.63161817171227</v>
      </c>
      <c r="Q44">
        <f t="shared" si="1"/>
        <v>0.48957226575661</v>
      </c>
      <c r="R44">
        <v>150</v>
      </c>
      <c r="S44" t="s">
        <v>60</v>
      </c>
      <c r="T44" t="s">
        <v>61</v>
      </c>
      <c r="U44" t="s">
        <v>62</v>
      </c>
      <c r="V44">
        <v>1</v>
      </c>
      <c r="W44">
        <v>0</v>
      </c>
      <c r="X44">
        <v>1</v>
      </c>
      <c r="Y44">
        <v>1</v>
      </c>
      <c r="Z44">
        <v>0</v>
      </c>
      <c r="AA44">
        <v>0</v>
      </c>
      <c r="AB44">
        <v>1</v>
      </c>
      <c r="AC44">
        <v>0</v>
      </c>
      <c r="AD44">
        <v>1</v>
      </c>
      <c r="AE44" s="5">
        <v>12.2120833333333</v>
      </c>
      <c r="AF44" s="5">
        <v>7.00097222222222</v>
      </c>
      <c r="AG44" s="5">
        <v>0.642528075697275</v>
      </c>
      <c r="AH44" s="5">
        <v>16.1176470588235</v>
      </c>
      <c r="AI44" s="5">
        <v>0.459694901747447</v>
      </c>
      <c r="AJ44" s="5">
        <v>-0.280752981483328</v>
      </c>
      <c r="AK44" s="5">
        <v>0.459694901747447</v>
      </c>
      <c r="AL44" s="5">
        <v>0.280752981483328</v>
      </c>
      <c r="AM44" s="5">
        <v>10.1452721658031</v>
      </c>
      <c r="AN44" s="5">
        <v>-0.382289160206052</v>
      </c>
      <c r="AO44" s="5">
        <v>-0.72</v>
      </c>
      <c r="AP44" s="5">
        <v>1212.20967645111</v>
      </c>
      <c r="AQ44" s="5">
        <v>2.16502218725737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4.55274987369036</v>
      </c>
      <c r="AY44" s="5">
        <v>-7.13430555555556</v>
      </c>
      <c r="AZ44" s="5">
        <v>1</v>
      </c>
      <c r="BA44" s="5">
        <v>1</v>
      </c>
    </row>
    <row r="45" hidden="1" spans="1:53">
      <c r="A45" t="s">
        <v>53</v>
      </c>
      <c r="B45" t="s">
        <v>75</v>
      </c>
      <c r="C45" t="s">
        <v>55</v>
      </c>
      <c r="D45" s="4" t="s">
        <v>64</v>
      </c>
      <c r="E45">
        <v>0.0234400000000001</v>
      </c>
      <c r="F45">
        <v>6.7</v>
      </c>
      <c r="G45">
        <v>1</v>
      </c>
      <c r="H45">
        <v>17</v>
      </c>
      <c r="I45">
        <v>44</v>
      </c>
      <c r="J45">
        <v>36</v>
      </c>
      <c r="K45">
        <v>20</v>
      </c>
      <c r="L45" t="s">
        <v>57</v>
      </c>
      <c r="M45" t="s">
        <v>58</v>
      </c>
      <c r="N45" t="s">
        <v>59</v>
      </c>
      <c r="O45">
        <v>0.18558547668</v>
      </c>
      <c r="P45">
        <f t="shared" si="2"/>
        <v>7.91746914163819</v>
      </c>
      <c r="Q45">
        <f t="shared" si="1"/>
        <v>2.06907160193499</v>
      </c>
      <c r="R45">
        <v>150</v>
      </c>
      <c r="S45" t="s">
        <v>60</v>
      </c>
      <c r="T45" t="s">
        <v>61</v>
      </c>
      <c r="U45" t="s">
        <v>62</v>
      </c>
      <c r="V45">
        <v>1</v>
      </c>
      <c r="W45">
        <v>0</v>
      </c>
      <c r="X45">
        <v>1</v>
      </c>
      <c r="Y45">
        <v>1</v>
      </c>
      <c r="Z45">
        <v>0</v>
      </c>
      <c r="AA45">
        <v>0</v>
      </c>
      <c r="AB45">
        <v>1</v>
      </c>
      <c r="AC45">
        <v>0</v>
      </c>
      <c r="AD45">
        <v>1</v>
      </c>
      <c r="AE45" s="5">
        <v>12.3952083333333</v>
      </c>
      <c r="AF45" s="5">
        <v>3.99060232426304</v>
      </c>
      <c r="AG45" s="5">
        <v>0.809418673219238</v>
      </c>
      <c r="AH45" s="5">
        <v>15.5263157894737</v>
      </c>
      <c r="AI45" s="5">
        <v>0.459647654411774</v>
      </c>
      <c r="AJ45" s="5">
        <v>-0.476627457257861</v>
      </c>
      <c r="AK45" s="5">
        <v>0.476627457257861</v>
      </c>
      <c r="AL45" s="5">
        <v>0.459647654411774</v>
      </c>
      <c r="AM45" s="5">
        <v>9.98060231888395</v>
      </c>
      <c r="AN45" s="5">
        <v>-0.417658943556199</v>
      </c>
      <c r="AO45" s="5">
        <v>-1.3</v>
      </c>
      <c r="AP45" s="5">
        <v>3314.44680161703</v>
      </c>
      <c r="AQ45" s="5">
        <v>2.17852386673025</v>
      </c>
      <c r="AR45" s="5">
        <v>0</v>
      </c>
      <c r="AS45" s="5">
        <v>4.79453718407182</v>
      </c>
      <c r="AT45" s="5">
        <v>0</v>
      </c>
      <c r="AU45" s="5">
        <v>0</v>
      </c>
      <c r="AV45" s="5">
        <v>0</v>
      </c>
      <c r="AW45" s="5">
        <v>0</v>
      </c>
      <c r="AX45" s="5">
        <v>5.10652739484071</v>
      </c>
      <c r="AY45" s="5">
        <v>-7.29710978835979</v>
      </c>
      <c r="AZ45" s="5">
        <v>0.833333333333333</v>
      </c>
      <c r="BA45" s="5">
        <v>1</v>
      </c>
    </row>
    <row r="46" hidden="1" spans="1:53">
      <c r="A46" t="s">
        <v>53</v>
      </c>
      <c r="B46" t="s">
        <v>75</v>
      </c>
      <c r="C46" t="s">
        <v>55</v>
      </c>
      <c r="D46" s="4" t="s">
        <v>65</v>
      </c>
      <c r="E46">
        <v>0.09375</v>
      </c>
      <c r="F46">
        <v>6.7</v>
      </c>
      <c r="G46">
        <v>1</v>
      </c>
      <c r="H46">
        <v>17</v>
      </c>
      <c r="I46">
        <v>44</v>
      </c>
      <c r="J46">
        <v>36</v>
      </c>
      <c r="K46">
        <v>20</v>
      </c>
      <c r="L46" t="s">
        <v>57</v>
      </c>
      <c r="M46" t="s">
        <v>58</v>
      </c>
      <c r="N46" t="s">
        <v>59</v>
      </c>
      <c r="O46">
        <v>0.13609396986</v>
      </c>
      <c r="P46">
        <f t="shared" si="2"/>
        <v>1.45166901184</v>
      </c>
      <c r="Q46">
        <f t="shared" si="1"/>
        <v>0.37271393713907</v>
      </c>
      <c r="R46">
        <v>150</v>
      </c>
      <c r="S46" t="s">
        <v>60</v>
      </c>
      <c r="T46" t="s">
        <v>61</v>
      </c>
      <c r="U46" t="s">
        <v>62</v>
      </c>
      <c r="V46">
        <v>1</v>
      </c>
      <c r="W46">
        <v>0</v>
      </c>
      <c r="X46">
        <v>1</v>
      </c>
      <c r="Y46">
        <v>1</v>
      </c>
      <c r="Z46">
        <v>0</v>
      </c>
      <c r="AA46">
        <v>0</v>
      </c>
      <c r="AB46">
        <v>1</v>
      </c>
      <c r="AC46">
        <v>0</v>
      </c>
      <c r="AD46">
        <v>1</v>
      </c>
      <c r="AE46" s="5">
        <v>12.6956944444444</v>
      </c>
      <c r="AF46" s="5">
        <v>7.51923752834467</v>
      </c>
      <c r="AG46" s="5">
        <v>0.567423483996869</v>
      </c>
      <c r="AH46" s="5">
        <v>16.6086956521739</v>
      </c>
      <c r="AI46" s="5">
        <v>0.459647303367286</v>
      </c>
      <c r="AJ46" s="5">
        <v>-0.280752999575136</v>
      </c>
      <c r="AK46" s="5">
        <v>0.459647303367286</v>
      </c>
      <c r="AL46" s="5">
        <v>0.280752999575136</v>
      </c>
      <c r="AM46" s="5">
        <v>9.97962409166519</v>
      </c>
      <c r="AN46" s="5">
        <v>-0.433260944725331</v>
      </c>
      <c r="AO46" s="5">
        <v>-1</v>
      </c>
      <c r="AP46" s="5">
        <v>14934.5346948423</v>
      </c>
      <c r="AQ46" s="5">
        <v>2.69882520469918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4.55274987369036</v>
      </c>
      <c r="AY46" s="5">
        <v>-7.5938637329932</v>
      </c>
      <c r="AZ46" s="5">
        <v>1</v>
      </c>
      <c r="BA46" s="5">
        <v>1</v>
      </c>
    </row>
    <row r="47" hidden="1" spans="1:53">
      <c r="A47" t="s">
        <v>53</v>
      </c>
      <c r="B47" t="s">
        <v>75</v>
      </c>
      <c r="C47" t="s">
        <v>55</v>
      </c>
      <c r="D47" s="4" t="s">
        <v>66</v>
      </c>
      <c r="E47">
        <v>0.43359</v>
      </c>
      <c r="F47">
        <v>6.7</v>
      </c>
      <c r="G47">
        <v>1</v>
      </c>
      <c r="H47">
        <v>17</v>
      </c>
      <c r="I47">
        <v>44</v>
      </c>
      <c r="J47">
        <v>36</v>
      </c>
      <c r="K47">
        <v>20</v>
      </c>
      <c r="L47" t="s">
        <v>57</v>
      </c>
      <c r="M47" t="s">
        <v>58</v>
      </c>
      <c r="N47" t="s">
        <v>59</v>
      </c>
      <c r="O47">
        <v>0.70934415822</v>
      </c>
      <c r="P47">
        <f t="shared" si="2"/>
        <v>1.63597905445236</v>
      </c>
      <c r="Q47">
        <f t="shared" si="1"/>
        <v>0.492241435196619</v>
      </c>
      <c r="R47">
        <v>150</v>
      </c>
      <c r="S47" t="s">
        <v>60</v>
      </c>
      <c r="T47" t="s">
        <v>61</v>
      </c>
      <c r="U47" t="s">
        <v>62</v>
      </c>
      <c r="V47">
        <v>1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0</v>
      </c>
      <c r="AD47">
        <v>1</v>
      </c>
      <c r="AE47" s="5">
        <v>12.8254166666667</v>
      </c>
      <c r="AF47" s="5">
        <v>4.27882137345679</v>
      </c>
      <c r="AG47" s="5">
        <v>0.653062667189842</v>
      </c>
      <c r="AH47" s="5">
        <v>16.12</v>
      </c>
      <c r="AI47" s="5">
        <v>0.459647294455008</v>
      </c>
      <c r="AJ47" s="5">
        <v>-0.47662745733429</v>
      </c>
      <c r="AK47" s="5">
        <v>0.47662745733429</v>
      </c>
      <c r="AL47" s="5">
        <v>0.459647294455008</v>
      </c>
      <c r="AM47" s="5">
        <v>9.90907137329749</v>
      </c>
      <c r="AN47" s="5">
        <v>-0.449718247791216</v>
      </c>
      <c r="AO47" s="5">
        <v>-1.58</v>
      </c>
      <c r="AP47" s="5">
        <v>39741.8973369129</v>
      </c>
      <c r="AQ47" s="5">
        <v>2.73920148528388</v>
      </c>
      <c r="AR47" s="5">
        <v>0</v>
      </c>
      <c r="AS47" s="5">
        <v>4.79453718407182</v>
      </c>
      <c r="AT47" s="5">
        <v>0</v>
      </c>
      <c r="AU47" s="5">
        <v>0</v>
      </c>
      <c r="AV47" s="5">
        <v>0</v>
      </c>
      <c r="AW47" s="5">
        <v>0</v>
      </c>
      <c r="AX47" s="5">
        <v>5.10652739484071</v>
      </c>
      <c r="AY47" s="5">
        <v>-7.69383775037793</v>
      </c>
      <c r="AZ47" s="5">
        <v>0.875</v>
      </c>
      <c r="BA47" s="5">
        <v>1</v>
      </c>
    </row>
    <row r="48" hidden="1" spans="1:53">
      <c r="A48" t="s">
        <v>53</v>
      </c>
      <c r="B48" t="s">
        <v>75</v>
      </c>
      <c r="C48" t="s">
        <v>55</v>
      </c>
      <c r="D48" s="4" t="s">
        <v>67</v>
      </c>
      <c r="E48">
        <v>0.0234300000000001</v>
      </c>
      <c r="F48">
        <v>6.7</v>
      </c>
      <c r="G48">
        <v>1</v>
      </c>
      <c r="H48">
        <v>17</v>
      </c>
      <c r="I48">
        <v>44</v>
      </c>
      <c r="J48">
        <v>36</v>
      </c>
      <c r="K48">
        <v>20</v>
      </c>
      <c r="L48" t="s">
        <v>57</v>
      </c>
      <c r="M48" t="s">
        <v>58</v>
      </c>
      <c r="N48" t="s">
        <v>59</v>
      </c>
      <c r="O48">
        <v>1.17536445378</v>
      </c>
      <c r="P48">
        <f t="shared" si="2"/>
        <v>50.1649361408449</v>
      </c>
      <c r="Q48">
        <f t="shared" si="1"/>
        <v>3.9153162993945</v>
      </c>
      <c r="R48">
        <v>150</v>
      </c>
      <c r="S48" t="s">
        <v>60</v>
      </c>
      <c r="T48" t="s">
        <v>61</v>
      </c>
      <c r="U48" t="s">
        <v>62</v>
      </c>
      <c r="V48">
        <v>1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0</v>
      </c>
      <c r="AD48">
        <v>1</v>
      </c>
      <c r="AE48" s="5">
        <v>13.0371419123205</v>
      </c>
      <c r="AF48" s="5">
        <v>7.66829457707096</v>
      </c>
      <c r="AG48" s="5">
        <v>0.402493807679921</v>
      </c>
      <c r="AH48" s="5">
        <v>16.8965517241379</v>
      </c>
      <c r="AI48" s="5">
        <v>0.459647294440031</v>
      </c>
      <c r="AJ48" s="5">
        <v>-0.280752999575314</v>
      </c>
      <c r="AK48" s="5">
        <v>0.459647294440031</v>
      </c>
      <c r="AL48" s="5">
        <v>0.280752999575314</v>
      </c>
      <c r="AM48" s="5">
        <v>9.90856544965598</v>
      </c>
      <c r="AN48" s="5">
        <v>-0.457885273814649</v>
      </c>
      <c r="AO48" s="5">
        <v>-1.28</v>
      </c>
      <c r="AP48" s="5">
        <v>176558.643253875</v>
      </c>
      <c r="AQ48" s="5">
        <v>3.26474212239717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4.55274987369036</v>
      </c>
      <c r="AY48" s="5">
        <v>-7.88274914441085</v>
      </c>
      <c r="AZ48" s="5">
        <v>1</v>
      </c>
      <c r="BA48" s="5">
        <v>1</v>
      </c>
    </row>
    <row r="49" hidden="1" spans="1:53">
      <c r="A49" t="s">
        <v>53</v>
      </c>
      <c r="B49" t="s">
        <v>75</v>
      </c>
      <c r="C49" t="s">
        <v>55</v>
      </c>
      <c r="D49" s="4" t="s">
        <v>68</v>
      </c>
      <c r="E49">
        <v>0.02431</v>
      </c>
      <c r="F49">
        <v>6.7</v>
      </c>
      <c r="G49">
        <v>1</v>
      </c>
      <c r="H49">
        <v>17</v>
      </c>
      <c r="I49">
        <v>44</v>
      </c>
      <c r="J49">
        <v>36</v>
      </c>
      <c r="K49">
        <v>20</v>
      </c>
      <c r="L49" t="s">
        <v>57</v>
      </c>
      <c r="M49" t="s">
        <v>58</v>
      </c>
      <c r="N49" t="s">
        <v>59</v>
      </c>
      <c r="O49">
        <v>0.78357630252</v>
      </c>
      <c r="P49">
        <f t="shared" si="2"/>
        <v>32.2326739004525</v>
      </c>
      <c r="Q49">
        <f t="shared" si="1"/>
        <v>3.47298065547802</v>
      </c>
      <c r="R49">
        <v>150</v>
      </c>
      <c r="S49" t="s">
        <v>60</v>
      </c>
      <c r="T49" t="s">
        <v>61</v>
      </c>
      <c r="U49" t="s">
        <v>62</v>
      </c>
      <c r="V49">
        <v>1</v>
      </c>
      <c r="W49">
        <v>0</v>
      </c>
      <c r="X49">
        <v>1</v>
      </c>
      <c r="Y49">
        <v>1</v>
      </c>
      <c r="Z49">
        <v>0</v>
      </c>
      <c r="AA49">
        <v>0</v>
      </c>
      <c r="AB49">
        <v>1</v>
      </c>
      <c r="AC49">
        <v>0</v>
      </c>
      <c r="AD49">
        <v>1</v>
      </c>
      <c r="AE49" s="5">
        <v>12.1252083333333</v>
      </c>
      <c r="AF49" s="5">
        <v>3.79034722222222</v>
      </c>
      <c r="AG49" s="5">
        <v>0.795108310685598</v>
      </c>
      <c r="AH49" s="5">
        <v>15.0625</v>
      </c>
      <c r="AI49" s="5">
        <v>0.459665733935349</v>
      </c>
      <c r="AJ49" s="5">
        <v>-0.476627440416371</v>
      </c>
      <c r="AK49" s="5">
        <v>0.476627440416371</v>
      </c>
      <c r="AL49" s="5">
        <v>0.459665733935349</v>
      </c>
      <c r="AM49" s="5">
        <v>10.044436145131</v>
      </c>
      <c r="AN49" s="5">
        <v>-0.389909625311938</v>
      </c>
      <c r="AO49" s="5">
        <v>-1.16</v>
      </c>
      <c r="AP49" s="5">
        <v>939.726830541714</v>
      </c>
      <c r="AQ49" s="5">
        <v>1.77550667912426</v>
      </c>
      <c r="AR49" s="5">
        <v>0</v>
      </c>
      <c r="AS49" s="5">
        <v>4.79453718407182</v>
      </c>
      <c r="AT49" s="5">
        <v>0</v>
      </c>
      <c r="AU49" s="5">
        <v>0</v>
      </c>
      <c r="AV49" s="5">
        <v>0</v>
      </c>
      <c r="AW49" s="5">
        <v>0</v>
      </c>
      <c r="AX49" s="5">
        <v>5.10652739484071</v>
      </c>
      <c r="AY49" s="5">
        <v>-7.00458333333333</v>
      </c>
      <c r="AZ49" s="5">
        <v>0.8</v>
      </c>
      <c r="BA49" s="5">
        <v>1</v>
      </c>
    </row>
    <row r="50" hidden="1" spans="1:53">
      <c r="A50" t="s">
        <v>53</v>
      </c>
      <c r="B50" t="s">
        <v>76</v>
      </c>
      <c r="C50" t="s">
        <v>55</v>
      </c>
      <c r="D50" s="4" t="s">
        <v>63</v>
      </c>
      <c r="E50">
        <v>0.210937</v>
      </c>
      <c r="F50">
        <v>6.7</v>
      </c>
      <c r="G50">
        <v>1</v>
      </c>
      <c r="H50">
        <v>17</v>
      </c>
      <c r="I50">
        <v>44</v>
      </c>
      <c r="J50">
        <v>36</v>
      </c>
      <c r="K50">
        <v>20</v>
      </c>
      <c r="L50" t="s">
        <v>57</v>
      </c>
      <c r="M50" t="s">
        <v>58</v>
      </c>
      <c r="N50" t="s">
        <v>59</v>
      </c>
      <c r="O50">
        <v>0.7669479699</v>
      </c>
      <c r="P50">
        <f t="shared" si="2"/>
        <v>3.63591010538692</v>
      </c>
      <c r="Q50">
        <f t="shared" si="1"/>
        <v>1.29085945251865</v>
      </c>
      <c r="R50">
        <v>150</v>
      </c>
      <c r="S50" t="s">
        <v>60</v>
      </c>
      <c r="T50" t="s">
        <v>61</v>
      </c>
      <c r="U50" t="s">
        <v>62</v>
      </c>
      <c r="V50">
        <v>1</v>
      </c>
      <c r="W50">
        <v>0</v>
      </c>
      <c r="X50">
        <v>1</v>
      </c>
      <c r="Y50">
        <v>1</v>
      </c>
      <c r="Z50">
        <v>0</v>
      </c>
      <c r="AA50">
        <v>0</v>
      </c>
      <c r="AB50">
        <v>1</v>
      </c>
      <c r="AC50">
        <v>0</v>
      </c>
      <c r="AD50">
        <v>1</v>
      </c>
      <c r="AE50" s="5">
        <v>12.2120833333333</v>
      </c>
      <c r="AF50" s="5">
        <v>7.00097222222222</v>
      </c>
      <c r="AG50" s="5">
        <v>0.642528075697275</v>
      </c>
      <c r="AH50" s="5">
        <v>16.1176470588235</v>
      </c>
      <c r="AI50" s="5">
        <v>0.459694901747447</v>
      </c>
      <c r="AJ50" s="5">
        <v>-0.280752981483328</v>
      </c>
      <c r="AK50" s="5">
        <v>0.459694901747447</v>
      </c>
      <c r="AL50" s="5">
        <v>0.280752981483328</v>
      </c>
      <c r="AM50" s="5">
        <v>10.1452721658031</v>
      </c>
      <c r="AN50" s="5">
        <v>-0.382289160206052</v>
      </c>
      <c r="AO50" s="5">
        <v>-0.72</v>
      </c>
      <c r="AP50" s="5">
        <v>1212.20967645111</v>
      </c>
      <c r="AQ50" s="5">
        <v>2.16502218725737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4.55274987369036</v>
      </c>
      <c r="AY50" s="5">
        <v>-7.13430555555556</v>
      </c>
      <c r="AZ50" s="5">
        <v>1</v>
      </c>
      <c r="BA50" s="5">
        <v>1</v>
      </c>
    </row>
    <row r="51" hidden="1" spans="1:53">
      <c r="A51" t="s">
        <v>53</v>
      </c>
      <c r="B51" t="s">
        <v>76</v>
      </c>
      <c r="C51" t="s">
        <v>55</v>
      </c>
      <c r="D51" s="4" t="s">
        <v>64</v>
      </c>
      <c r="E51">
        <v>0.0234369999999999</v>
      </c>
      <c r="F51">
        <v>6.7</v>
      </c>
      <c r="G51">
        <v>1</v>
      </c>
      <c r="H51">
        <v>17</v>
      </c>
      <c r="I51">
        <v>44</v>
      </c>
      <c r="J51">
        <v>36</v>
      </c>
      <c r="K51">
        <v>20</v>
      </c>
      <c r="L51" t="s">
        <v>57</v>
      </c>
      <c r="M51" t="s">
        <v>58</v>
      </c>
      <c r="N51" t="s">
        <v>59</v>
      </c>
      <c r="O51">
        <v>0.22529170944</v>
      </c>
      <c r="P51">
        <f t="shared" si="2"/>
        <v>9.61265133933528</v>
      </c>
      <c r="Q51">
        <f t="shared" si="1"/>
        <v>2.2630800787219</v>
      </c>
      <c r="R51">
        <v>150</v>
      </c>
      <c r="S51" t="s">
        <v>60</v>
      </c>
      <c r="T51" t="s">
        <v>61</v>
      </c>
      <c r="U51" t="s">
        <v>62</v>
      </c>
      <c r="V51">
        <v>1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0</v>
      </c>
      <c r="AD51">
        <v>1</v>
      </c>
      <c r="AE51" s="5">
        <v>12.3952083333333</v>
      </c>
      <c r="AF51" s="5">
        <v>3.99060232426304</v>
      </c>
      <c r="AG51" s="5">
        <v>0.809418673219238</v>
      </c>
      <c r="AH51" s="5">
        <v>15.5263157894737</v>
      </c>
      <c r="AI51" s="5">
        <v>0.459647654411774</v>
      </c>
      <c r="AJ51" s="5">
        <v>-0.476627457257861</v>
      </c>
      <c r="AK51" s="5">
        <v>0.476627457257861</v>
      </c>
      <c r="AL51" s="5">
        <v>0.459647654411774</v>
      </c>
      <c r="AM51" s="5">
        <v>9.98060231888395</v>
      </c>
      <c r="AN51" s="5">
        <v>-0.417658943556199</v>
      </c>
      <c r="AO51" s="5">
        <v>-1.3</v>
      </c>
      <c r="AP51" s="5">
        <v>3314.44680161703</v>
      </c>
      <c r="AQ51" s="5">
        <v>2.17852386673025</v>
      </c>
      <c r="AR51" s="5">
        <v>0</v>
      </c>
      <c r="AS51" s="5">
        <v>4.79453718407182</v>
      </c>
      <c r="AT51" s="5">
        <v>0</v>
      </c>
      <c r="AU51" s="5">
        <v>0</v>
      </c>
      <c r="AV51" s="5">
        <v>0</v>
      </c>
      <c r="AW51" s="5">
        <v>0</v>
      </c>
      <c r="AX51" s="5">
        <v>5.10652739484071</v>
      </c>
      <c r="AY51" s="5">
        <v>-7.29710978835979</v>
      </c>
      <c r="AZ51" s="5">
        <v>0.833333333333333</v>
      </c>
      <c r="BA51" s="5">
        <v>1</v>
      </c>
    </row>
    <row r="52" hidden="1" spans="1:53">
      <c r="A52" t="s">
        <v>53</v>
      </c>
      <c r="B52" t="s">
        <v>76</v>
      </c>
      <c r="C52" t="s">
        <v>55</v>
      </c>
      <c r="D52" s="4" t="s">
        <v>65</v>
      </c>
      <c r="E52">
        <v>0.058594</v>
      </c>
      <c r="F52">
        <v>6.7</v>
      </c>
      <c r="G52">
        <v>1</v>
      </c>
      <c r="H52">
        <v>17</v>
      </c>
      <c r="I52">
        <v>44</v>
      </c>
      <c r="J52">
        <v>36</v>
      </c>
      <c r="K52">
        <v>20</v>
      </c>
      <c r="L52" t="s">
        <v>57</v>
      </c>
      <c r="M52" t="s">
        <v>58</v>
      </c>
      <c r="N52" t="s">
        <v>59</v>
      </c>
      <c r="O52">
        <v>0.1821536115</v>
      </c>
      <c r="P52">
        <f t="shared" si="2"/>
        <v>3.10874170563539</v>
      </c>
      <c r="Q52">
        <f t="shared" si="1"/>
        <v>1.13421804806128</v>
      </c>
      <c r="R52">
        <v>150</v>
      </c>
      <c r="S52" t="s">
        <v>60</v>
      </c>
      <c r="T52" t="s">
        <v>61</v>
      </c>
      <c r="U52" t="s">
        <v>62</v>
      </c>
      <c r="V52">
        <v>1</v>
      </c>
      <c r="W52">
        <v>0</v>
      </c>
      <c r="X52">
        <v>1</v>
      </c>
      <c r="Y52">
        <v>1</v>
      </c>
      <c r="Z52">
        <v>0</v>
      </c>
      <c r="AA52">
        <v>0</v>
      </c>
      <c r="AB52">
        <v>1</v>
      </c>
      <c r="AC52">
        <v>0</v>
      </c>
      <c r="AD52">
        <v>1</v>
      </c>
      <c r="AE52" s="5">
        <v>12.6956944444444</v>
      </c>
      <c r="AF52" s="5">
        <v>7.51923752834467</v>
      </c>
      <c r="AG52" s="5">
        <v>0.567423483996869</v>
      </c>
      <c r="AH52" s="5">
        <v>16.6086956521739</v>
      </c>
      <c r="AI52" s="5">
        <v>0.459647303367286</v>
      </c>
      <c r="AJ52" s="5">
        <v>-0.280752999575136</v>
      </c>
      <c r="AK52" s="5">
        <v>0.459647303367286</v>
      </c>
      <c r="AL52" s="5">
        <v>0.280752999575136</v>
      </c>
      <c r="AM52" s="5">
        <v>9.97962409166519</v>
      </c>
      <c r="AN52" s="5">
        <v>-0.433260944725331</v>
      </c>
      <c r="AO52" s="5">
        <v>-1</v>
      </c>
      <c r="AP52" s="5">
        <v>14934.5346948423</v>
      </c>
      <c r="AQ52" s="5">
        <v>2.69882520469918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4.55274987369036</v>
      </c>
      <c r="AY52" s="5">
        <v>-7.5938637329932</v>
      </c>
      <c r="AZ52" s="5">
        <v>1</v>
      </c>
      <c r="BA52" s="5">
        <v>1</v>
      </c>
    </row>
    <row r="53" hidden="1" spans="1:53">
      <c r="A53" t="s">
        <v>53</v>
      </c>
      <c r="B53" t="s">
        <v>76</v>
      </c>
      <c r="C53" t="s">
        <v>55</v>
      </c>
      <c r="D53" s="4" t="s">
        <v>66</v>
      </c>
      <c r="E53">
        <v>1.031255</v>
      </c>
      <c r="F53">
        <v>6.7</v>
      </c>
      <c r="G53">
        <v>1</v>
      </c>
      <c r="H53">
        <v>17</v>
      </c>
      <c r="I53">
        <v>44</v>
      </c>
      <c r="J53">
        <v>36</v>
      </c>
      <c r="K53">
        <v>20</v>
      </c>
      <c r="L53" t="s">
        <v>57</v>
      </c>
      <c r="M53" t="s">
        <v>58</v>
      </c>
      <c r="N53" t="s">
        <v>59</v>
      </c>
      <c r="O53">
        <v>0.79091534172</v>
      </c>
      <c r="P53">
        <f t="shared" si="2"/>
        <v>0.76694449163398</v>
      </c>
      <c r="Q53">
        <f t="shared" si="1"/>
        <v>-0.265340850984774</v>
      </c>
      <c r="R53">
        <v>150</v>
      </c>
      <c r="S53" t="s">
        <v>60</v>
      </c>
      <c r="T53" t="s">
        <v>61</v>
      </c>
      <c r="U53" t="s">
        <v>62</v>
      </c>
      <c r="V53">
        <v>1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0</v>
      </c>
      <c r="AD53">
        <v>1</v>
      </c>
      <c r="AE53" s="5">
        <v>12.8254166666667</v>
      </c>
      <c r="AF53" s="5">
        <v>4.27882137345679</v>
      </c>
      <c r="AG53" s="5">
        <v>0.653062667189842</v>
      </c>
      <c r="AH53" s="5">
        <v>16.12</v>
      </c>
      <c r="AI53" s="5">
        <v>0.459647294455008</v>
      </c>
      <c r="AJ53" s="5">
        <v>-0.47662745733429</v>
      </c>
      <c r="AK53" s="5">
        <v>0.47662745733429</v>
      </c>
      <c r="AL53" s="5">
        <v>0.459647294455008</v>
      </c>
      <c r="AM53" s="5">
        <v>9.90907137329749</v>
      </c>
      <c r="AN53" s="5">
        <v>-0.449718247791216</v>
      </c>
      <c r="AO53" s="5">
        <v>-1.58</v>
      </c>
      <c r="AP53" s="5">
        <v>39741.8973369129</v>
      </c>
      <c r="AQ53" s="5">
        <v>2.73920148528388</v>
      </c>
      <c r="AR53" s="5">
        <v>0</v>
      </c>
      <c r="AS53" s="5">
        <v>4.79453718407182</v>
      </c>
      <c r="AT53" s="5">
        <v>0</v>
      </c>
      <c r="AU53" s="5">
        <v>0</v>
      </c>
      <c r="AV53" s="5">
        <v>0</v>
      </c>
      <c r="AW53" s="5">
        <v>0</v>
      </c>
      <c r="AX53" s="5">
        <v>5.10652739484071</v>
      </c>
      <c r="AY53" s="5">
        <v>-7.69383775037793</v>
      </c>
      <c r="AZ53" s="5">
        <v>0.875</v>
      </c>
      <c r="BA53" s="5">
        <v>1</v>
      </c>
    </row>
    <row r="54" hidden="1" spans="1:53">
      <c r="A54" t="s">
        <v>53</v>
      </c>
      <c r="B54" t="s">
        <v>76</v>
      </c>
      <c r="C54" t="s">
        <v>55</v>
      </c>
      <c r="D54" s="4" t="s">
        <v>67</v>
      </c>
      <c r="E54">
        <v>0.0585899999999999</v>
      </c>
      <c r="F54">
        <v>6.7</v>
      </c>
      <c r="G54">
        <v>1</v>
      </c>
      <c r="H54">
        <v>17</v>
      </c>
      <c r="I54">
        <v>44</v>
      </c>
      <c r="J54">
        <v>36</v>
      </c>
      <c r="K54">
        <v>20</v>
      </c>
      <c r="L54" t="s">
        <v>57</v>
      </c>
      <c r="M54" t="s">
        <v>58</v>
      </c>
      <c r="N54" t="s">
        <v>59</v>
      </c>
      <c r="O54">
        <v>1.1839786539</v>
      </c>
      <c r="P54">
        <f t="shared" si="2"/>
        <v>20.2078623297491</v>
      </c>
      <c r="Q54">
        <f t="shared" si="1"/>
        <v>3.00607175292406</v>
      </c>
      <c r="R54">
        <v>150</v>
      </c>
      <c r="S54" t="s">
        <v>60</v>
      </c>
      <c r="T54" t="s">
        <v>61</v>
      </c>
      <c r="U54" t="s">
        <v>62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1</v>
      </c>
      <c r="AC54">
        <v>0</v>
      </c>
      <c r="AD54">
        <v>1</v>
      </c>
      <c r="AE54" s="5">
        <v>13.0371419123205</v>
      </c>
      <c r="AF54" s="5">
        <v>7.66829457707096</v>
      </c>
      <c r="AG54" s="5">
        <v>0.402493807679921</v>
      </c>
      <c r="AH54" s="5">
        <v>16.8965517241379</v>
      </c>
      <c r="AI54" s="5">
        <v>0.459647294440031</v>
      </c>
      <c r="AJ54" s="5">
        <v>-0.280752999575314</v>
      </c>
      <c r="AK54" s="5">
        <v>0.459647294440031</v>
      </c>
      <c r="AL54" s="5">
        <v>0.280752999575314</v>
      </c>
      <c r="AM54" s="5">
        <v>9.90856544965598</v>
      </c>
      <c r="AN54" s="5">
        <v>-0.457885273814649</v>
      </c>
      <c r="AO54" s="5">
        <v>-1.28</v>
      </c>
      <c r="AP54" s="5">
        <v>176558.643253875</v>
      </c>
      <c r="AQ54" s="5">
        <v>3.26474212239717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4.55274987369036</v>
      </c>
      <c r="AY54" s="5">
        <v>-7.88274914441085</v>
      </c>
      <c r="AZ54" s="5">
        <v>1</v>
      </c>
      <c r="BA54" s="5">
        <v>1</v>
      </c>
    </row>
    <row r="55" hidden="1" spans="1:53">
      <c r="A55" t="s">
        <v>53</v>
      </c>
      <c r="B55" t="s">
        <v>76</v>
      </c>
      <c r="C55" t="s">
        <v>55</v>
      </c>
      <c r="D55" s="4" t="s">
        <v>68</v>
      </c>
      <c r="E55">
        <v>0.0234400000000001</v>
      </c>
      <c r="F55">
        <v>6.7</v>
      </c>
      <c r="G55">
        <v>1</v>
      </c>
      <c r="H55">
        <v>17</v>
      </c>
      <c r="I55">
        <v>44</v>
      </c>
      <c r="J55">
        <v>36</v>
      </c>
      <c r="K55">
        <v>20</v>
      </c>
      <c r="L55" t="s">
        <v>57</v>
      </c>
      <c r="M55" t="s">
        <v>58</v>
      </c>
      <c r="N55" t="s">
        <v>59</v>
      </c>
      <c r="O55">
        <v>0.81488271354</v>
      </c>
      <c r="P55">
        <f t="shared" si="2"/>
        <v>34.7646208848121</v>
      </c>
      <c r="Q55">
        <f t="shared" si="1"/>
        <v>3.54860022840917</v>
      </c>
      <c r="R55">
        <v>150</v>
      </c>
      <c r="S55" t="s">
        <v>60</v>
      </c>
      <c r="T55" t="s">
        <v>61</v>
      </c>
      <c r="U55" t="s">
        <v>62</v>
      </c>
      <c r="V55">
        <v>1</v>
      </c>
      <c r="W55">
        <v>0</v>
      </c>
      <c r="X55">
        <v>1</v>
      </c>
      <c r="Y55">
        <v>1</v>
      </c>
      <c r="Z55">
        <v>0</v>
      </c>
      <c r="AA55">
        <v>0</v>
      </c>
      <c r="AB55">
        <v>1</v>
      </c>
      <c r="AC55">
        <v>0</v>
      </c>
      <c r="AD55">
        <v>1</v>
      </c>
      <c r="AE55" s="5">
        <v>12.1252083333333</v>
      </c>
      <c r="AF55" s="5">
        <v>3.79034722222222</v>
      </c>
      <c r="AG55" s="5">
        <v>0.795108310685598</v>
      </c>
      <c r="AH55" s="5">
        <v>15.0625</v>
      </c>
      <c r="AI55" s="5">
        <v>0.459665733935349</v>
      </c>
      <c r="AJ55" s="5">
        <v>-0.476627440416371</v>
      </c>
      <c r="AK55" s="5">
        <v>0.476627440416371</v>
      </c>
      <c r="AL55" s="5">
        <v>0.459665733935349</v>
      </c>
      <c r="AM55" s="5">
        <v>10.044436145131</v>
      </c>
      <c r="AN55" s="5">
        <v>-0.389909625311938</v>
      </c>
      <c r="AO55" s="5">
        <v>-1.16</v>
      </c>
      <c r="AP55" s="5">
        <v>939.726830541714</v>
      </c>
      <c r="AQ55" s="5">
        <v>1.77550667912426</v>
      </c>
      <c r="AR55" s="5">
        <v>0</v>
      </c>
      <c r="AS55" s="5">
        <v>4.79453718407182</v>
      </c>
      <c r="AT55" s="5">
        <v>0</v>
      </c>
      <c r="AU55" s="5">
        <v>0</v>
      </c>
      <c r="AV55" s="5">
        <v>0</v>
      </c>
      <c r="AW55" s="5">
        <v>0</v>
      </c>
      <c r="AX55" s="5">
        <v>5.10652739484071</v>
      </c>
      <c r="AY55" s="5">
        <v>-7.00458333333333</v>
      </c>
      <c r="AZ55" s="5">
        <v>0.8</v>
      </c>
      <c r="BA55" s="5">
        <v>1</v>
      </c>
    </row>
    <row r="56" hidden="1" spans="1:53">
      <c r="A56" t="s">
        <v>53</v>
      </c>
      <c r="B56" t="s">
        <v>77</v>
      </c>
      <c r="C56" t="s">
        <v>55</v>
      </c>
      <c r="D56" s="4" t="s">
        <v>63</v>
      </c>
      <c r="E56">
        <v>0.234375</v>
      </c>
      <c r="F56">
        <v>6.7</v>
      </c>
      <c r="G56">
        <v>1</v>
      </c>
      <c r="H56">
        <v>17</v>
      </c>
      <c r="I56">
        <v>44</v>
      </c>
      <c r="J56">
        <v>36</v>
      </c>
      <c r="K56">
        <v>20</v>
      </c>
      <c r="L56" t="s">
        <v>57</v>
      </c>
      <c r="M56" t="s">
        <v>58</v>
      </c>
      <c r="N56" t="s">
        <v>59</v>
      </c>
      <c r="O56">
        <v>0.367497124484</v>
      </c>
      <c r="P56">
        <f t="shared" si="2"/>
        <v>1.56798773113173</v>
      </c>
      <c r="Q56">
        <f t="shared" si="1"/>
        <v>0.449793097364271</v>
      </c>
      <c r="R56">
        <v>150</v>
      </c>
      <c r="S56" t="s">
        <v>60</v>
      </c>
      <c r="T56" t="s">
        <v>61</v>
      </c>
      <c r="U56" t="s">
        <v>62</v>
      </c>
      <c r="V56">
        <v>1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0</v>
      </c>
      <c r="AD56">
        <v>1</v>
      </c>
      <c r="AE56" s="5">
        <v>12.2120833333333</v>
      </c>
      <c r="AF56" s="5">
        <v>7.00097222222222</v>
      </c>
      <c r="AG56" s="5">
        <v>0.642528075697275</v>
      </c>
      <c r="AH56" s="5">
        <v>16.1176470588235</v>
      </c>
      <c r="AI56" s="5">
        <v>0.459694901747447</v>
      </c>
      <c r="AJ56" s="5">
        <v>-0.280752981483328</v>
      </c>
      <c r="AK56" s="5">
        <v>0.459694901747447</v>
      </c>
      <c r="AL56" s="5">
        <v>0.280752981483328</v>
      </c>
      <c r="AM56" s="5">
        <v>10.1452721658031</v>
      </c>
      <c r="AN56" s="5">
        <v>-0.382289160206052</v>
      </c>
      <c r="AO56" s="5">
        <v>-0.72</v>
      </c>
      <c r="AP56" s="5">
        <v>1212.20967645111</v>
      </c>
      <c r="AQ56" s="5">
        <v>2.16502218725737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4.55274987369036</v>
      </c>
      <c r="AY56" s="5">
        <v>-7.13430555555556</v>
      </c>
      <c r="AZ56" s="5">
        <v>1</v>
      </c>
      <c r="BA56" s="5">
        <v>1</v>
      </c>
    </row>
    <row r="57" hidden="1" spans="1:53">
      <c r="A57" t="s">
        <v>53</v>
      </c>
      <c r="B57" t="s">
        <v>77</v>
      </c>
      <c r="C57" t="s">
        <v>55</v>
      </c>
      <c r="D57" s="4" t="s">
        <v>65</v>
      </c>
      <c r="E57">
        <v>0.11719</v>
      </c>
      <c r="F57">
        <v>6.7</v>
      </c>
      <c r="G57">
        <v>1</v>
      </c>
      <c r="H57">
        <v>17</v>
      </c>
      <c r="I57">
        <v>44</v>
      </c>
      <c r="J57">
        <v>36</v>
      </c>
      <c r="K57">
        <v>20</v>
      </c>
      <c r="L57" t="s">
        <v>57</v>
      </c>
      <c r="M57" t="s">
        <v>58</v>
      </c>
      <c r="N57" t="s">
        <v>59</v>
      </c>
      <c r="O57">
        <v>0.23029860864</v>
      </c>
      <c r="P57">
        <f t="shared" si="2"/>
        <v>1.96517287004011</v>
      </c>
      <c r="Q57">
        <f t="shared" si="1"/>
        <v>0.675580216026806</v>
      </c>
      <c r="R57">
        <v>150</v>
      </c>
      <c r="S57" t="s">
        <v>60</v>
      </c>
      <c r="T57" t="s">
        <v>61</v>
      </c>
      <c r="U57" t="s">
        <v>62</v>
      </c>
      <c r="V57">
        <v>1</v>
      </c>
      <c r="W57">
        <v>0</v>
      </c>
      <c r="X57">
        <v>1</v>
      </c>
      <c r="Y57">
        <v>1</v>
      </c>
      <c r="Z57">
        <v>0</v>
      </c>
      <c r="AA57">
        <v>0</v>
      </c>
      <c r="AB57">
        <v>1</v>
      </c>
      <c r="AC57">
        <v>0</v>
      </c>
      <c r="AD57">
        <v>1</v>
      </c>
      <c r="AE57" s="5">
        <v>12.6956944444444</v>
      </c>
      <c r="AF57" s="5">
        <v>7.51923752834467</v>
      </c>
      <c r="AG57" s="5">
        <v>0.567423483996869</v>
      </c>
      <c r="AH57" s="5">
        <v>16.6086956521739</v>
      </c>
      <c r="AI57" s="5">
        <v>0.459647303367286</v>
      </c>
      <c r="AJ57" s="5">
        <v>-0.280752999575136</v>
      </c>
      <c r="AK57" s="5">
        <v>0.459647303367286</v>
      </c>
      <c r="AL57" s="5">
        <v>0.280752999575136</v>
      </c>
      <c r="AM57" s="5">
        <v>9.97962409166519</v>
      </c>
      <c r="AN57" s="5">
        <v>-0.433260944725331</v>
      </c>
      <c r="AO57" s="5">
        <v>-1</v>
      </c>
      <c r="AP57" s="5">
        <v>14934.5346948423</v>
      </c>
      <c r="AQ57" s="5">
        <v>2.69882520469918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4.55274987369036</v>
      </c>
      <c r="AY57" s="5">
        <v>-7.5938637329932</v>
      </c>
      <c r="AZ57" s="5">
        <v>1</v>
      </c>
      <c r="BA57" s="5">
        <v>1</v>
      </c>
    </row>
    <row r="58" hidden="1" spans="1:53">
      <c r="A58" t="s">
        <v>53</v>
      </c>
      <c r="B58" t="s">
        <v>77</v>
      </c>
      <c r="C58" t="s">
        <v>55</v>
      </c>
      <c r="D58" s="4" t="s">
        <v>66</v>
      </c>
      <c r="E58">
        <v>1.2539</v>
      </c>
      <c r="F58">
        <v>6.7</v>
      </c>
      <c r="G58">
        <v>1</v>
      </c>
      <c r="H58">
        <v>17</v>
      </c>
      <c r="I58">
        <v>44</v>
      </c>
      <c r="J58">
        <v>36</v>
      </c>
      <c r="K58">
        <v>20</v>
      </c>
      <c r="L58" t="s">
        <v>57</v>
      </c>
      <c r="M58" t="s">
        <v>58</v>
      </c>
      <c r="N58" t="s">
        <v>59</v>
      </c>
      <c r="O58">
        <v>0.94569040671</v>
      </c>
      <c r="P58">
        <f t="shared" si="2"/>
        <v>0.754199223789776</v>
      </c>
      <c r="Q58">
        <f t="shared" si="1"/>
        <v>-0.282098723341948</v>
      </c>
      <c r="R58">
        <v>150</v>
      </c>
      <c r="S58" t="s">
        <v>60</v>
      </c>
      <c r="T58" t="s">
        <v>61</v>
      </c>
      <c r="U58" t="s">
        <v>62</v>
      </c>
      <c r="V58">
        <v>1</v>
      </c>
      <c r="W58">
        <v>0</v>
      </c>
      <c r="X58">
        <v>1</v>
      </c>
      <c r="Y58">
        <v>1</v>
      </c>
      <c r="Z58">
        <v>0</v>
      </c>
      <c r="AA58">
        <v>0</v>
      </c>
      <c r="AB58">
        <v>1</v>
      </c>
      <c r="AC58">
        <v>0</v>
      </c>
      <c r="AD58">
        <v>1</v>
      </c>
      <c r="AE58" s="5">
        <v>12.8254166666667</v>
      </c>
      <c r="AF58" s="5">
        <v>4.27882137345679</v>
      </c>
      <c r="AG58" s="5">
        <v>0.653062667189842</v>
      </c>
      <c r="AH58" s="5">
        <v>16.12</v>
      </c>
      <c r="AI58" s="5">
        <v>0.459647294455008</v>
      </c>
      <c r="AJ58" s="5">
        <v>-0.47662745733429</v>
      </c>
      <c r="AK58" s="5">
        <v>0.47662745733429</v>
      </c>
      <c r="AL58" s="5">
        <v>0.459647294455008</v>
      </c>
      <c r="AM58" s="5">
        <v>9.90907137329749</v>
      </c>
      <c r="AN58" s="5">
        <v>-0.449718247791216</v>
      </c>
      <c r="AO58" s="5">
        <v>-1.58</v>
      </c>
      <c r="AP58" s="5">
        <v>39741.8973369129</v>
      </c>
      <c r="AQ58" s="5">
        <v>2.73920148528388</v>
      </c>
      <c r="AR58" s="5">
        <v>0</v>
      </c>
      <c r="AS58" s="5">
        <v>4.79453718407182</v>
      </c>
      <c r="AT58" s="5">
        <v>0</v>
      </c>
      <c r="AU58" s="5">
        <v>0</v>
      </c>
      <c r="AV58" s="5">
        <v>0</v>
      </c>
      <c r="AW58" s="5">
        <v>0</v>
      </c>
      <c r="AX58" s="5">
        <v>5.10652739484071</v>
      </c>
      <c r="AY58" s="5">
        <v>-7.69383775037793</v>
      </c>
      <c r="AZ58" s="5">
        <v>0.875</v>
      </c>
      <c r="BA58" s="5">
        <v>1</v>
      </c>
    </row>
    <row r="59" hidden="1" spans="1:53">
      <c r="A59" t="s">
        <v>53</v>
      </c>
      <c r="B59" t="s">
        <v>77</v>
      </c>
      <c r="C59" t="s">
        <v>55</v>
      </c>
      <c r="D59" s="4" t="s">
        <v>67</v>
      </c>
      <c r="E59">
        <v>0.0585999999999998</v>
      </c>
      <c r="F59">
        <v>6.7</v>
      </c>
      <c r="G59">
        <v>1</v>
      </c>
      <c r="H59">
        <v>17</v>
      </c>
      <c r="I59">
        <v>44</v>
      </c>
      <c r="J59">
        <v>36</v>
      </c>
      <c r="K59">
        <v>20</v>
      </c>
      <c r="L59" t="s">
        <v>57</v>
      </c>
      <c r="M59" t="s">
        <v>58</v>
      </c>
      <c r="N59" t="s">
        <v>59</v>
      </c>
      <c r="O59">
        <v>1.38179165184</v>
      </c>
      <c r="P59">
        <f t="shared" si="2"/>
        <v>23.5800623180888</v>
      </c>
      <c r="Q59">
        <f t="shared" si="1"/>
        <v>3.16040153794241</v>
      </c>
      <c r="R59">
        <v>150</v>
      </c>
      <c r="S59" t="s">
        <v>60</v>
      </c>
      <c r="T59" t="s">
        <v>61</v>
      </c>
      <c r="U59" t="s">
        <v>62</v>
      </c>
      <c r="V59">
        <v>1</v>
      </c>
      <c r="W59">
        <v>0</v>
      </c>
      <c r="X59">
        <v>1</v>
      </c>
      <c r="Y59">
        <v>1</v>
      </c>
      <c r="Z59">
        <v>0</v>
      </c>
      <c r="AA59">
        <v>0</v>
      </c>
      <c r="AB59">
        <v>1</v>
      </c>
      <c r="AC59">
        <v>0</v>
      </c>
      <c r="AD59">
        <v>1</v>
      </c>
      <c r="AE59" s="5">
        <v>13.0371419123205</v>
      </c>
      <c r="AF59" s="5">
        <v>7.66829457707096</v>
      </c>
      <c r="AG59" s="5">
        <v>0.402493807679921</v>
      </c>
      <c r="AH59" s="5">
        <v>16.8965517241379</v>
      </c>
      <c r="AI59" s="5">
        <v>0.459647294440031</v>
      </c>
      <c r="AJ59" s="5">
        <v>-0.280752999575314</v>
      </c>
      <c r="AK59" s="5">
        <v>0.459647294440031</v>
      </c>
      <c r="AL59" s="5">
        <v>0.280752999575314</v>
      </c>
      <c r="AM59" s="5">
        <v>9.90856544965598</v>
      </c>
      <c r="AN59" s="5">
        <v>-0.457885273814649</v>
      </c>
      <c r="AO59" s="5">
        <v>-1.28</v>
      </c>
      <c r="AP59" s="5">
        <v>176558.643253875</v>
      </c>
      <c r="AQ59" s="5">
        <v>3.26474212239717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4.55274987369036</v>
      </c>
      <c r="AY59" s="5">
        <v>-7.88274914441085</v>
      </c>
      <c r="AZ59" s="5">
        <v>1</v>
      </c>
      <c r="BA59" s="5">
        <v>1</v>
      </c>
    </row>
    <row r="60" hidden="1" spans="1:53">
      <c r="A60" t="s">
        <v>53</v>
      </c>
      <c r="B60" t="s">
        <v>78</v>
      </c>
      <c r="C60" t="s">
        <v>55</v>
      </c>
      <c r="D60" s="4" t="s">
        <v>63</v>
      </c>
      <c r="E60">
        <v>0.175781</v>
      </c>
      <c r="F60">
        <v>6.7</v>
      </c>
      <c r="G60">
        <v>1</v>
      </c>
      <c r="H60">
        <v>17</v>
      </c>
      <c r="I60">
        <v>44</v>
      </c>
      <c r="J60">
        <v>36</v>
      </c>
      <c r="K60">
        <v>20</v>
      </c>
      <c r="L60" t="s">
        <v>57</v>
      </c>
      <c r="M60" t="s">
        <v>58</v>
      </c>
      <c r="N60" t="s">
        <v>59</v>
      </c>
      <c r="O60">
        <v>0.51543052351</v>
      </c>
      <c r="P60">
        <f t="shared" si="2"/>
        <v>2.93223114847452</v>
      </c>
      <c r="Q60">
        <f t="shared" si="1"/>
        <v>1.07576361736804</v>
      </c>
      <c r="R60">
        <v>150</v>
      </c>
      <c r="S60" t="s">
        <v>60</v>
      </c>
      <c r="T60" t="s">
        <v>61</v>
      </c>
      <c r="U60" t="s">
        <v>62</v>
      </c>
      <c r="V60">
        <v>1</v>
      </c>
      <c r="W60">
        <v>0</v>
      </c>
      <c r="X60">
        <v>1</v>
      </c>
      <c r="Y60">
        <v>1</v>
      </c>
      <c r="Z60">
        <v>0</v>
      </c>
      <c r="AA60">
        <v>0</v>
      </c>
      <c r="AB60">
        <v>1</v>
      </c>
      <c r="AC60">
        <v>0</v>
      </c>
      <c r="AD60">
        <v>1</v>
      </c>
      <c r="AE60" s="5">
        <v>12.2120833333333</v>
      </c>
      <c r="AF60" s="5">
        <v>7.00097222222222</v>
      </c>
      <c r="AG60" s="5">
        <v>0.642528075697275</v>
      </c>
      <c r="AH60" s="5">
        <v>16.1176470588235</v>
      </c>
      <c r="AI60" s="5">
        <v>0.459694901747447</v>
      </c>
      <c r="AJ60" s="5">
        <v>-0.280752981483328</v>
      </c>
      <c r="AK60" s="5">
        <v>0.459694901747447</v>
      </c>
      <c r="AL60" s="5">
        <v>0.280752981483328</v>
      </c>
      <c r="AM60" s="5">
        <v>10.1452721658031</v>
      </c>
      <c r="AN60" s="5">
        <v>-0.382289160206052</v>
      </c>
      <c r="AO60" s="5">
        <v>-0.72</v>
      </c>
      <c r="AP60" s="5">
        <v>1212.20967645111</v>
      </c>
      <c r="AQ60" s="5">
        <v>2.16502218725737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4.55274987369036</v>
      </c>
      <c r="AY60" s="5">
        <v>-7.13430555555556</v>
      </c>
      <c r="AZ60" s="5">
        <v>1</v>
      </c>
      <c r="BA60" s="5">
        <v>1</v>
      </c>
    </row>
    <row r="61" hidden="1" spans="1:53">
      <c r="A61" t="s">
        <v>53</v>
      </c>
      <c r="B61" t="s">
        <v>78</v>
      </c>
      <c r="C61" t="s">
        <v>55</v>
      </c>
      <c r="D61" s="4" t="s">
        <v>65</v>
      </c>
      <c r="E61">
        <v>0.023437</v>
      </c>
      <c r="F61">
        <v>6.7</v>
      </c>
      <c r="G61">
        <v>1</v>
      </c>
      <c r="H61">
        <v>17</v>
      </c>
      <c r="I61">
        <v>44</v>
      </c>
      <c r="J61">
        <v>36</v>
      </c>
      <c r="K61">
        <v>20</v>
      </c>
      <c r="L61" t="s">
        <v>57</v>
      </c>
      <c r="M61" t="s">
        <v>58</v>
      </c>
      <c r="N61" t="s">
        <v>59</v>
      </c>
      <c r="O61">
        <v>0.1589240858</v>
      </c>
      <c r="P61">
        <f t="shared" si="2"/>
        <v>6.78090565345394</v>
      </c>
      <c r="Q61">
        <f t="shared" si="1"/>
        <v>1.91411067023726</v>
      </c>
      <c r="R61">
        <v>150</v>
      </c>
      <c r="S61" t="s">
        <v>60</v>
      </c>
      <c r="T61" t="s">
        <v>61</v>
      </c>
      <c r="U61" t="s">
        <v>62</v>
      </c>
      <c r="V61">
        <v>1</v>
      </c>
      <c r="W61">
        <v>0</v>
      </c>
      <c r="X61">
        <v>1</v>
      </c>
      <c r="Y61">
        <v>1</v>
      </c>
      <c r="Z61">
        <v>0</v>
      </c>
      <c r="AA61">
        <v>0</v>
      </c>
      <c r="AB61">
        <v>1</v>
      </c>
      <c r="AC61">
        <v>0</v>
      </c>
      <c r="AD61">
        <v>1</v>
      </c>
      <c r="AE61" s="5">
        <v>12.6956944444444</v>
      </c>
      <c r="AF61" s="5">
        <v>7.51923752834467</v>
      </c>
      <c r="AG61" s="5">
        <v>0.567423483996869</v>
      </c>
      <c r="AH61" s="5">
        <v>16.6086956521739</v>
      </c>
      <c r="AI61" s="5">
        <v>0.459647303367286</v>
      </c>
      <c r="AJ61" s="5">
        <v>-0.280752999575136</v>
      </c>
      <c r="AK61" s="5">
        <v>0.459647303367286</v>
      </c>
      <c r="AL61" s="5">
        <v>0.280752999575136</v>
      </c>
      <c r="AM61" s="5">
        <v>9.97962409166519</v>
      </c>
      <c r="AN61" s="5">
        <v>-0.433260944725331</v>
      </c>
      <c r="AO61" s="5">
        <v>-1</v>
      </c>
      <c r="AP61" s="5">
        <v>14934.5346948423</v>
      </c>
      <c r="AQ61" s="5">
        <v>2.69882520469918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4.55274987369036</v>
      </c>
      <c r="AY61" s="5">
        <v>-7.5938637329932</v>
      </c>
      <c r="AZ61" s="5">
        <v>1</v>
      </c>
      <c r="BA61" s="5">
        <v>1</v>
      </c>
    </row>
    <row r="62" hidden="1" spans="1:53">
      <c r="A62" t="s">
        <v>53</v>
      </c>
      <c r="B62" t="s">
        <v>78</v>
      </c>
      <c r="C62" t="s">
        <v>55</v>
      </c>
      <c r="D62" s="4" t="s">
        <v>66</v>
      </c>
      <c r="E62">
        <v>0.152344</v>
      </c>
      <c r="F62">
        <v>6.7</v>
      </c>
      <c r="G62">
        <v>1</v>
      </c>
      <c r="H62">
        <v>17</v>
      </c>
      <c r="I62">
        <v>44</v>
      </c>
      <c r="J62">
        <v>36</v>
      </c>
      <c r="K62">
        <v>20</v>
      </c>
      <c r="L62" t="s">
        <v>57</v>
      </c>
      <c r="M62" t="s">
        <v>58</v>
      </c>
      <c r="N62" t="s">
        <v>59</v>
      </c>
      <c r="O62">
        <v>0.70012560266</v>
      </c>
      <c r="P62">
        <f t="shared" si="2"/>
        <v>4.59568872197133</v>
      </c>
      <c r="Q62">
        <f t="shared" si="1"/>
        <v>1.52511862966226</v>
      </c>
      <c r="R62">
        <v>150</v>
      </c>
      <c r="S62" t="s">
        <v>60</v>
      </c>
      <c r="T62" t="s">
        <v>61</v>
      </c>
      <c r="U62" t="s">
        <v>62</v>
      </c>
      <c r="V62">
        <v>1</v>
      </c>
      <c r="W62">
        <v>0</v>
      </c>
      <c r="X62">
        <v>1</v>
      </c>
      <c r="Y62">
        <v>1</v>
      </c>
      <c r="Z62">
        <v>0</v>
      </c>
      <c r="AA62">
        <v>0</v>
      </c>
      <c r="AB62">
        <v>1</v>
      </c>
      <c r="AC62">
        <v>0</v>
      </c>
      <c r="AD62">
        <v>1</v>
      </c>
      <c r="AE62" s="5">
        <v>12.8254166666667</v>
      </c>
      <c r="AF62" s="5">
        <v>4.27882137345679</v>
      </c>
      <c r="AG62" s="5">
        <v>0.653062667189842</v>
      </c>
      <c r="AH62" s="5">
        <v>16.12</v>
      </c>
      <c r="AI62" s="5">
        <v>0.459647294455008</v>
      </c>
      <c r="AJ62" s="5">
        <v>-0.47662745733429</v>
      </c>
      <c r="AK62" s="5">
        <v>0.47662745733429</v>
      </c>
      <c r="AL62" s="5">
        <v>0.459647294455008</v>
      </c>
      <c r="AM62" s="5">
        <v>9.90907137329749</v>
      </c>
      <c r="AN62" s="5">
        <v>-0.449718247791216</v>
      </c>
      <c r="AO62" s="5">
        <v>-1.58</v>
      </c>
      <c r="AP62" s="5">
        <v>39741.8973369129</v>
      </c>
      <c r="AQ62" s="5">
        <v>2.73920148528388</v>
      </c>
      <c r="AR62" s="5">
        <v>0</v>
      </c>
      <c r="AS62" s="5">
        <v>4.79453718407182</v>
      </c>
      <c r="AT62" s="5">
        <v>0</v>
      </c>
      <c r="AU62" s="5">
        <v>0</v>
      </c>
      <c r="AV62" s="5">
        <v>0</v>
      </c>
      <c r="AW62" s="5">
        <v>0</v>
      </c>
      <c r="AX62" s="5">
        <v>5.10652739484071</v>
      </c>
      <c r="AY62" s="5">
        <v>-7.69383775037793</v>
      </c>
      <c r="AZ62" s="5">
        <v>0.875</v>
      </c>
      <c r="BA62" s="5">
        <v>1</v>
      </c>
    </row>
    <row r="63" hidden="1" spans="1:53">
      <c r="A63" t="s">
        <v>53</v>
      </c>
      <c r="B63" t="s">
        <v>78</v>
      </c>
      <c r="C63" t="s">
        <v>55</v>
      </c>
      <c r="D63" s="4" t="s">
        <v>67</v>
      </c>
      <c r="E63">
        <v>0.0234369999999999</v>
      </c>
      <c r="F63">
        <v>6.7</v>
      </c>
      <c r="G63">
        <v>1</v>
      </c>
      <c r="H63">
        <v>17</v>
      </c>
      <c r="I63">
        <v>44</v>
      </c>
      <c r="J63">
        <v>36</v>
      </c>
      <c r="K63">
        <v>20</v>
      </c>
      <c r="L63" t="s">
        <v>57</v>
      </c>
      <c r="M63" t="s">
        <v>58</v>
      </c>
      <c r="N63" t="s">
        <v>59</v>
      </c>
      <c r="O63">
        <v>1.18119243359</v>
      </c>
      <c r="P63">
        <f t="shared" si="2"/>
        <v>50.3986190037123</v>
      </c>
      <c r="Q63">
        <f t="shared" si="1"/>
        <v>3.91996377398192</v>
      </c>
      <c r="R63">
        <v>150</v>
      </c>
      <c r="S63" t="s">
        <v>60</v>
      </c>
      <c r="T63" t="s">
        <v>61</v>
      </c>
      <c r="U63" t="s">
        <v>62</v>
      </c>
      <c r="V63">
        <v>1</v>
      </c>
      <c r="W63">
        <v>0</v>
      </c>
      <c r="X63">
        <v>1</v>
      </c>
      <c r="Y63">
        <v>1</v>
      </c>
      <c r="Z63">
        <v>0</v>
      </c>
      <c r="AA63">
        <v>0</v>
      </c>
      <c r="AB63">
        <v>1</v>
      </c>
      <c r="AC63">
        <v>0</v>
      </c>
      <c r="AD63">
        <v>1</v>
      </c>
      <c r="AE63" s="5">
        <v>13.0371419123205</v>
      </c>
      <c r="AF63" s="5">
        <v>7.66829457707096</v>
      </c>
      <c r="AG63" s="5">
        <v>0.402493807679921</v>
      </c>
      <c r="AH63" s="5">
        <v>16.8965517241379</v>
      </c>
      <c r="AI63" s="5">
        <v>0.459647294440031</v>
      </c>
      <c r="AJ63" s="5">
        <v>-0.280752999575314</v>
      </c>
      <c r="AK63" s="5">
        <v>0.459647294440031</v>
      </c>
      <c r="AL63" s="5">
        <v>0.280752999575314</v>
      </c>
      <c r="AM63" s="5">
        <v>9.90856544965598</v>
      </c>
      <c r="AN63" s="5">
        <v>-0.457885273814649</v>
      </c>
      <c r="AO63" s="5">
        <v>-1.28</v>
      </c>
      <c r="AP63" s="5">
        <v>176558.643253875</v>
      </c>
      <c r="AQ63" s="5">
        <v>3.26474212239717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4.55274987369036</v>
      </c>
      <c r="AY63" s="5">
        <v>-7.88274914441085</v>
      </c>
      <c r="AZ63" s="5">
        <v>1</v>
      </c>
      <c r="BA63" s="5">
        <v>1</v>
      </c>
    </row>
    <row r="64" hidden="1" spans="1:53">
      <c r="A64" t="s">
        <v>53</v>
      </c>
      <c r="B64" t="s">
        <v>79</v>
      </c>
      <c r="C64" t="s">
        <v>55</v>
      </c>
      <c r="D64" s="4" t="s">
        <v>56</v>
      </c>
      <c r="E64">
        <v>0.234375</v>
      </c>
      <c r="F64">
        <v>6.7</v>
      </c>
      <c r="G64">
        <v>1</v>
      </c>
      <c r="H64">
        <v>17</v>
      </c>
      <c r="I64">
        <v>44</v>
      </c>
      <c r="J64">
        <v>36</v>
      </c>
      <c r="K64">
        <v>20</v>
      </c>
      <c r="L64" t="s">
        <v>57</v>
      </c>
      <c r="M64" t="s">
        <v>58</v>
      </c>
      <c r="N64" t="s">
        <v>59</v>
      </c>
      <c r="O64">
        <v>0.85701933646</v>
      </c>
      <c r="P64">
        <f t="shared" si="2"/>
        <v>3.65661583556267</v>
      </c>
      <c r="Q64">
        <f t="shared" si="1"/>
        <v>1.29653808458239</v>
      </c>
      <c r="R64">
        <v>150</v>
      </c>
      <c r="S64" t="s">
        <v>60</v>
      </c>
      <c r="T64" t="s">
        <v>61</v>
      </c>
      <c r="U64" t="s">
        <v>62</v>
      </c>
      <c r="V64">
        <v>1</v>
      </c>
      <c r="W64">
        <v>0</v>
      </c>
      <c r="X64">
        <v>1</v>
      </c>
      <c r="Y64">
        <v>1</v>
      </c>
      <c r="Z64">
        <v>0</v>
      </c>
      <c r="AA64">
        <v>0</v>
      </c>
      <c r="AB64">
        <v>1</v>
      </c>
      <c r="AC64">
        <v>0</v>
      </c>
      <c r="AD64">
        <v>1</v>
      </c>
      <c r="AE64" s="5">
        <v>11.7505787037037</v>
      </c>
      <c r="AF64" s="5">
        <v>3.53256944444444</v>
      </c>
      <c r="AG64" s="5">
        <v>0.712441776552488</v>
      </c>
      <c r="AH64" s="5">
        <v>14.3846153846154</v>
      </c>
      <c r="AI64" s="5">
        <v>0.460094687009651</v>
      </c>
      <c r="AJ64" s="5">
        <v>-0.476625664235965</v>
      </c>
      <c r="AK64" s="5">
        <v>0.476625664235965</v>
      </c>
      <c r="AL64" s="5">
        <v>0.460094687009651</v>
      </c>
      <c r="AM64" s="5">
        <v>10.1473915373546</v>
      </c>
      <c r="AN64" s="5">
        <v>-0.347050241178715</v>
      </c>
      <c r="AO64" s="5">
        <v>-1.02</v>
      </c>
      <c r="AP64" s="5">
        <v>260.658615872357</v>
      </c>
      <c r="AQ64" s="5">
        <v>1.67669845728037</v>
      </c>
      <c r="AR64" s="5">
        <v>0</v>
      </c>
      <c r="AS64" s="5">
        <v>4.79453718407182</v>
      </c>
      <c r="AT64" s="5">
        <v>0</v>
      </c>
      <c r="AU64" s="5">
        <v>0</v>
      </c>
      <c r="AV64" s="5">
        <v>0</v>
      </c>
      <c r="AW64" s="5">
        <v>0</v>
      </c>
      <c r="AX64" s="5">
        <v>5.10652739484071</v>
      </c>
      <c r="AY64" s="5">
        <v>-6.60229166666667</v>
      </c>
      <c r="AZ64" s="5">
        <v>0.75</v>
      </c>
      <c r="BA64" s="5">
        <v>1</v>
      </c>
    </row>
    <row r="65" hidden="1" spans="1:53">
      <c r="A65" t="s">
        <v>53</v>
      </c>
      <c r="B65" t="s">
        <v>79</v>
      </c>
      <c r="C65" t="s">
        <v>55</v>
      </c>
      <c r="D65" s="4" t="s">
        <v>63</v>
      </c>
      <c r="E65">
        <v>0.058594</v>
      </c>
      <c r="F65">
        <v>6.7</v>
      </c>
      <c r="G65">
        <v>1</v>
      </c>
      <c r="H65">
        <v>17</v>
      </c>
      <c r="I65">
        <v>44</v>
      </c>
      <c r="J65">
        <v>36</v>
      </c>
      <c r="K65">
        <v>20</v>
      </c>
      <c r="L65" t="s">
        <v>57</v>
      </c>
      <c r="M65" t="s">
        <v>58</v>
      </c>
      <c r="N65" t="s">
        <v>59</v>
      </c>
      <c r="O65">
        <v>0.36729400134</v>
      </c>
      <c r="P65">
        <f t="shared" si="2"/>
        <v>6.26845754411714</v>
      </c>
      <c r="Q65">
        <f t="shared" si="1"/>
        <v>1.83553031865751</v>
      </c>
      <c r="R65">
        <v>150</v>
      </c>
      <c r="S65" t="s">
        <v>60</v>
      </c>
      <c r="T65" t="s">
        <v>61</v>
      </c>
      <c r="U65" t="s">
        <v>62</v>
      </c>
      <c r="V65">
        <v>1</v>
      </c>
      <c r="W65">
        <v>0</v>
      </c>
      <c r="X65">
        <v>1</v>
      </c>
      <c r="Y65">
        <v>1</v>
      </c>
      <c r="Z65">
        <v>0</v>
      </c>
      <c r="AA65">
        <v>0</v>
      </c>
      <c r="AB65">
        <v>1</v>
      </c>
      <c r="AC65">
        <v>0</v>
      </c>
      <c r="AD65">
        <v>1</v>
      </c>
      <c r="AE65" s="5">
        <v>12.2120833333333</v>
      </c>
      <c r="AF65" s="5">
        <v>7.00097222222222</v>
      </c>
      <c r="AG65" s="5">
        <v>0.642528075697275</v>
      </c>
      <c r="AH65" s="5">
        <v>16.1176470588235</v>
      </c>
      <c r="AI65" s="5">
        <v>0.459694901747447</v>
      </c>
      <c r="AJ65" s="5">
        <v>-0.280752981483328</v>
      </c>
      <c r="AK65" s="5">
        <v>0.459694901747447</v>
      </c>
      <c r="AL65" s="5">
        <v>0.280752981483328</v>
      </c>
      <c r="AM65" s="5">
        <v>10.1452721658031</v>
      </c>
      <c r="AN65" s="5">
        <v>-0.382289160206052</v>
      </c>
      <c r="AO65" s="5">
        <v>-0.72</v>
      </c>
      <c r="AP65" s="5">
        <v>1212.20967645111</v>
      </c>
      <c r="AQ65" s="5">
        <v>2.16502218725737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4.55274987369036</v>
      </c>
      <c r="AY65" s="5">
        <v>-7.13430555555556</v>
      </c>
      <c r="AZ65" s="5">
        <v>1</v>
      </c>
      <c r="BA65" s="5">
        <v>1</v>
      </c>
    </row>
    <row r="66" hidden="1" spans="1:53">
      <c r="A66" t="s">
        <v>53</v>
      </c>
      <c r="B66" t="s">
        <v>79</v>
      </c>
      <c r="C66" t="s">
        <v>55</v>
      </c>
      <c r="D66" s="4" t="s">
        <v>65</v>
      </c>
      <c r="E66">
        <v>0.09375</v>
      </c>
      <c r="F66">
        <v>6.7</v>
      </c>
      <c r="G66">
        <v>1</v>
      </c>
      <c r="H66">
        <v>17</v>
      </c>
      <c r="I66">
        <v>44</v>
      </c>
      <c r="J66">
        <v>36</v>
      </c>
      <c r="K66">
        <v>20</v>
      </c>
      <c r="L66" t="s">
        <v>57</v>
      </c>
      <c r="M66" t="s">
        <v>58</v>
      </c>
      <c r="N66" t="s">
        <v>59</v>
      </c>
      <c r="O66">
        <v>0.2157121204</v>
      </c>
      <c r="P66">
        <f t="shared" si="2"/>
        <v>2.30092928426667</v>
      </c>
      <c r="Q66">
        <f t="shared" si="1"/>
        <v>0.833313077971962</v>
      </c>
      <c r="R66">
        <v>150</v>
      </c>
      <c r="S66" t="s">
        <v>60</v>
      </c>
      <c r="T66" t="s">
        <v>61</v>
      </c>
      <c r="U66" t="s">
        <v>62</v>
      </c>
      <c r="V66">
        <v>1</v>
      </c>
      <c r="W66">
        <v>0</v>
      </c>
      <c r="X66">
        <v>1</v>
      </c>
      <c r="Y66">
        <v>1</v>
      </c>
      <c r="Z66">
        <v>0</v>
      </c>
      <c r="AA66">
        <v>0</v>
      </c>
      <c r="AB66">
        <v>1</v>
      </c>
      <c r="AC66">
        <v>0</v>
      </c>
      <c r="AD66">
        <v>1</v>
      </c>
      <c r="AE66" s="5">
        <v>12.6956944444444</v>
      </c>
      <c r="AF66" s="5">
        <v>7.51923752834467</v>
      </c>
      <c r="AG66" s="5">
        <v>0.567423483996869</v>
      </c>
      <c r="AH66" s="5">
        <v>16.6086956521739</v>
      </c>
      <c r="AI66" s="5">
        <v>0.459647303367286</v>
      </c>
      <c r="AJ66" s="5">
        <v>-0.280752999575136</v>
      </c>
      <c r="AK66" s="5">
        <v>0.459647303367286</v>
      </c>
      <c r="AL66" s="5">
        <v>0.280752999575136</v>
      </c>
      <c r="AM66" s="5">
        <v>9.97962409166519</v>
      </c>
      <c r="AN66" s="5">
        <v>-0.433260944725331</v>
      </c>
      <c r="AO66" s="5">
        <v>-1</v>
      </c>
      <c r="AP66" s="5">
        <v>14934.5346948423</v>
      </c>
      <c r="AQ66" s="5">
        <v>2.69882520469918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4.55274987369036</v>
      </c>
      <c r="AY66" s="5">
        <v>-7.5938637329932</v>
      </c>
      <c r="AZ66" s="5">
        <v>1</v>
      </c>
      <c r="BA66" s="5">
        <v>1</v>
      </c>
    </row>
    <row r="67" hidden="1" spans="1:53">
      <c r="A67" t="s">
        <v>53</v>
      </c>
      <c r="B67" t="s">
        <v>79</v>
      </c>
      <c r="C67" t="s">
        <v>55</v>
      </c>
      <c r="D67" s="4" t="s">
        <v>66</v>
      </c>
      <c r="E67">
        <v>0.433593</v>
      </c>
      <c r="F67">
        <v>6.7</v>
      </c>
      <c r="G67">
        <v>1</v>
      </c>
      <c r="H67">
        <v>17</v>
      </c>
      <c r="I67">
        <v>44</v>
      </c>
      <c r="J67">
        <v>36</v>
      </c>
      <c r="K67">
        <v>20</v>
      </c>
      <c r="L67" t="s">
        <v>57</v>
      </c>
      <c r="M67" t="s">
        <v>58</v>
      </c>
      <c r="N67" t="s">
        <v>59</v>
      </c>
      <c r="O67">
        <v>0.84536104618</v>
      </c>
      <c r="P67">
        <f t="shared" si="2"/>
        <v>1.94966488430394</v>
      </c>
      <c r="Q67">
        <f t="shared" ref="Q67:Q130" si="3">LN(P67)</f>
        <v>0.667657503603924</v>
      </c>
      <c r="R67">
        <v>150</v>
      </c>
      <c r="S67" t="s">
        <v>60</v>
      </c>
      <c r="T67" t="s">
        <v>61</v>
      </c>
      <c r="U67" t="s">
        <v>62</v>
      </c>
      <c r="V67">
        <v>1</v>
      </c>
      <c r="W67">
        <v>0</v>
      </c>
      <c r="X67">
        <v>1</v>
      </c>
      <c r="Y67">
        <v>1</v>
      </c>
      <c r="Z67">
        <v>0</v>
      </c>
      <c r="AA67">
        <v>0</v>
      </c>
      <c r="AB67">
        <v>1</v>
      </c>
      <c r="AC67">
        <v>0</v>
      </c>
      <c r="AD67">
        <v>1</v>
      </c>
      <c r="AE67" s="5">
        <v>12.8254166666667</v>
      </c>
      <c r="AF67" s="5">
        <v>4.27882137345679</v>
      </c>
      <c r="AG67" s="5">
        <v>0.653062667189842</v>
      </c>
      <c r="AH67" s="5">
        <v>16.12</v>
      </c>
      <c r="AI67" s="5">
        <v>0.459647294455008</v>
      </c>
      <c r="AJ67" s="5">
        <v>-0.47662745733429</v>
      </c>
      <c r="AK67" s="5">
        <v>0.47662745733429</v>
      </c>
      <c r="AL67" s="5">
        <v>0.459647294455008</v>
      </c>
      <c r="AM67" s="5">
        <v>9.90907137329749</v>
      </c>
      <c r="AN67" s="5">
        <v>-0.449718247791216</v>
      </c>
      <c r="AO67" s="5">
        <v>-1.58</v>
      </c>
      <c r="AP67" s="5">
        <v>39741.8973369129</v>
      </c>
      <c r="AQ67" s="5">
        <v>2.73920148528388</v>
      </c>
      <c r="AR67" s="5">
        <v>0</v>
      </c>
      <c r="AS67" s="5">
        <v>4.79453718407182</v>
      </c>
      <c r="AT67" s="5">
        <v>0</v>
      </c>
      <c r="AU67" s="5">
        <v>0</v>
      </c>
      <c r="AV67" s="5">
        <v>0</v>
      </c>
      <c r="AW67" s="5">
        <v>0</v>
      </c>
      <c r="AX67" s="5">
        <v>5.10652739484071</v>
      </c>
      <c r="AY67" s="5">
        <v>-7.69383775037793</v>
      </c>
      <c r="AZ67" s="5">
        <v>0.875</v>
      </c>
      <c r="BA67" s="5">
        <v>1</v>
      </c>
    </row>
    <row r="68" hidden="1" spans="1:53">
      <c r="A68" t="s">
        <v>53</v>
      </c>
      <c r="B68" t="s">
        <v>79</v>
      </c>
      <c r="C68" t="s">
        <v>55</v>
      </c>
      <c r="D68" s="4" t="s">
        <v>67</v>
      </c>
      <c r="E68">
        <v>0.126157</v>
      </c>
      <c r="F68">
        <v>6.7</v>
      </c>
      <c r="G68">
        <v>1</v>
      </c>
      <c r="H68">
        <v>17</v>
      </c>
      <c r="I68">
        <v>44</v>
      </c>
      <c r="J68">
        <v>36</v>
      </c>
      <c r="K68">
        <v>20</v>
      </c>
      <c r="L68" t="s">
        <v>57</v>
      </c>
      <c r="M68" t="s">
        <v>58</v>
      </c>
      <c r="N68" t="s">
        <v>59</v>
      </c>
      <c r="O68">
        <v>1.38755350902</v>
      </c>
      <c r="P68">
        <f t="shared" si="2"/>
        <v>10.9986248010019</v>
      </c>
      <c r="Q68">
        <f t="shared" si="3"/>
        <v>2.39777024689222</v>
      </c>
      <c r="R68">
        <v>150</v>
      </c>
      <c r="S68" t="s">
        <v>60</v>
      </c>
      <c r="T68" t="s">
        <v>61</v>
      </c>
      <c r="U68" t="s">
        <v>62</v>
      </c>
      <c r="V68">
        <v>1</v>
      </c>
      <c r="W68">
        <v>0</v>
      </c>
      <c r="X68">
        <v>1</v>
      </c>
      <c r="Y68">
        <v>1</v>
      </c>
      <c r="Z68">
        <v>0</v>
      </c>
      <c r="AA68">
        <v>0</v>
      </c>
      <c r="AB68">
        <v>1</v>
      </c>
      <c r="AC68">
        <v>0</v>
      </c>
      <c r="AD68">
        <v>1</v>
      </c>
      <c r="AE68" s="5">
        <v>13.0371419123205</v>
      </c>
      <c r="AF68" s="5">
        <v>7.66829457707096</v>
      </c>
      <c r="AG68" s="5">
        <v>0.402493807679921</v>
      </c>
      <c r="AH68" s="5">
        <v>16.8965517241379</v>
      </c>
      <c r="AI68" s="5">
        <v>0.459647294440031</v>
      </c>
      <c r="AJ68" s="5">
        <v>-0.280752999575314</v>
      </c>
      <c r="AK68" s="5">
        <v>0.459647294440031</v>
      </c>
      <c r="AL68" s="5">
        <v>0.280752999575314</v>
      </c>
      <c r="AM68" s="5">
        <v>9.90856544965598</v>
      </c>
      <c r="AN68" s="5">
        <v>-0.457885273814649</v>
      </c>
      <c r="AO68" s="5">
        <v>-1.28</v>
      </c>
      <c r="AP68" s="5">
        <v>176558.643253875</v>
      </c>
      <c r="AQ68" s="5">
        <v>3.26474212239717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4.55274987369036</v>
      </c>
      <c r="AY68" s="5">
        <v>-7.88274914441085</v>
      </c>
      <c r="AZ68" s="5">
        <v>1</v>
      </c>
      <c r="BA68" s="5">
        <v>1</v>
      </c>
    </row>
    <row r="69" hidden="1" spans="1:53">
      <c r="A69" t="s">
        <v>53</v>
      </c>
      <c r="B69" t="s">
        <v>80</v>
      </c>
      <c r="C69" t="s">
        <v>55</v>
      </c>
      <c r="D69" s="4" t="s">
        <v>63</v>
      </c>
      <c r="E69">
        <v>0.152344</v>
      </c>
      <c r="F69">
        <v>6.7</v>
      </c>
      <c r="G69">
        <v>1</v>
      </c>
      <c r="H69">
        <v>17</v>
      </c>
      <c r="I69">
        <v>44</v>
      </c>
      <c r="J69">
        <v>36</v>
      </c>
      <c r="K69">
        <v>20</v>
      </c>
      <c r="L69" t="s">
        <v>57</v>
      </c>
      <c r="M69" t="s">
        <v>58</v>
      </c>
      <c r="N69" t="s">
        <v>59</v>
      </c>
      <c r="O69">
        <v>0.225654349613</v>
      </c>
      <c r="P69">
        <f t="shared" si="2"/>
        <v>1.48121586418238</v>
      </c>
      <c r="Q69">
        <f t="shared" si="3"/>
        <v>0.392863280358037</v>
      </c>
      <c r="R69">
        <v>150</v>
      </c>
      <c r="S69" t="s">
        <v>60</v>
      </c>
      <c r="T69" t="s">
        <v>61</v>
      </c>
      <c r="U69" t="s">
        <v>62</v>
      </c>
      <c r="V69">
        <v>1</v>
      </c>
      <c r="W69">
        <v>0</v>
      </c>
      <c r="X69">
        <v>1</v>
      </c>
      <c r="Y69">
        <v>1</v>
      </c>
      <c r="Z69">
        <v>0</v>
      </c>
      <c r="AA69">
        <v>0</v>
      </c>
      <c r="AB69">
        <v>1</v>
      </c>
      <c r="AC69">
        <v>0</v>
      </c>
      <c r="AD69">
        <v>1</v>
      </c>
      <c r="AE69" s="5">
        <v>12.2120833333333</v>
      </c>
      <c r="AF69" s="5">
        <v>7.00097222222222</v>
      </c>
      <c r="AG69" s="5">
        <v>0.642528075697275</v>
      </c>
      <c r="AH69" s="5">
        <v>16.1176470588235</v>
      </c>
      <c r="AI69" s="5">
        <v>0.459694901747447</v>
      </c>
      <c r="AJ69" s="5">
        <v>-0.280752981483328</v>
      </c>
      <c r="AK69" s="5">
        <v>0.459694901747447</v>
      </c>
      <c r="AL69" s="5">
        <v>0.280752981483328</v>
      </c>
      <c r="AM69" s="5">
        <v>10.1452721658031</v>
      </c>
      <c r="AN69" s="5">
        <v>-0.382289160206052</v>
      </c>
      <c r="AO69" s="5">
        <v>-0.72</v>
      </c>
      <c r="AP69" s="5">
        <v>1212.20967645111</v>
      </c>
      <c r="AQ69" s="5">
        <v>2.16502218725737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4.55274987369036</v>
      </c>
      <c r="AY69" s="5">
        <v>-7.13430555555556</v>
      </c>
      <c r="AZ69" s="5">
        <v>1</v>
      </c>
      <c r="BA69" s="5">
        <v>1</v>
      </c>
    </row>
    <row r="70" hidden="1" spans="1:53">
      <c r="A70" t="s">
        <v>53</v>
      </c>
      <c r="B70" t="s">
        <v>80</v>
      </c>
      <c r="C70" t="s">
        <v>55</v>
      </c>
      <c r="D70" s="4" t="s">
        <v>65</v>
      </c>
      <c r="E70">
        <v>0.058594</v>
      </c>
      <c r="F70">
        <v>6.7</v>
      </c>
      <c r="G70">
        <v>1</v>
      </c>
      <c r="H70">
        <v>17</v>
      </c>
      <c r="I70">
        <v>44</v>
      </c>
      <c r="J70">
        <v>36</v>
      </c>
      <c r="K70">
        <v>20</v>
      </c>
      <c r="L70" t="s">
        <v>57</v>
      </c>
      <c r="M70" t="s">
        <v>58</v>
      </c>
      <c r="N70" t="s">
        <v>59</v>
      </c>
      <c r="O70">
        <v>0.14103510246</v>
      </c>
      <c r="P70">
        <f t="shared" si="2"/>
        <v>2.40698881216507</v>
      </c>
      <c r="Q70">
        <f t="shared" si="3"/>
        <v>0.878376510749031</v>
      </c>
      <c r="R70">
        <v>150</v>
      </c>
      <c r="S70" t="s">
        <v>60</v>
      </c>
      <c r="T70" t="s">
        <v>61</v>
      </c>
      <c r="U70" t="s">
        <v>62</v>
      </c>
      <c r="V70">
        <v>1</v>
      </c>
      <c r="W70">
        <v>0</v>
      </c>
      <c r="X70">
        <v>1</v>
      </c>
      <c r="Y70">
        <v>1</v>
      </c>
      <c r="Z70">
        <v>0</v>
      </c>
      <c r="AA70">
        <v>0</v>
      </c>
      <c r="AB70">
        <v>1</v>
      </c>
      <c r="AC70">
        <v>0</v>
      </c>
      <c r="AD70">
        <v>1</v>
      </c>
      <c r="AE70" s="5">
        <v>12.6956944444444</v>
      </c>
      <c r="AF70" s="5">
        <v>7.51923752834467</v>
      </c>
      <c r="AG70" s="5">
        <v>0.567423483996869</v>
      </c>
      <c r="AH70" s="5">
        <v>16.6086956521739</v>
      </c>
      <c r="AI70" s="5">
        <v>0.459647303367286</v>
      </c>
      <c r="AJ70" s="5">
        <v>-0.280752999575136</v>
      </c>
      <c r="AK70" s="5">
        <v>0.459647303367286</v>
      </c>
      <c r="AL70" s="5">
        <v>0.280752999575136</v>
      </c>
      <c r="AM70" s="5">
        <v>9.97962409166519</v>
      </c>
      <c r="AN70" s="5">
        <v>-0.433260944725331</v>
      </c>
      <c r="AO70" s="5">
        <v>-1</v>
      </c>
      <c r="AP70" s="5">
        <v>14934.5346948423</v>
      </c>
      <c r="AQ70" s="5">
        <v>2.69882520469918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4.55274987369036</v>
      </c>
      <c r="AY70" s="5">
        <v>-7.5938637329932</v>
      </c>
      <c r="AZ70" s="5">
        <v>1</v>
      </c>
      <c r="BA70" s="5">
        <v>1</v>
      </c>
    </row>
    <row r="71" hidden="1" spans="1:53">
      <c r="A71" t="s">
        <v>53</v>
      </c>
      <c r="B71" t="s">
        <v>80</v>
      </c>
      <c r="C71" t="s">
        <v>55</v>
      </c>
      <c r="D71" s="4" t="s">
        <v>66</v>
      </c>
      <c r="E71">
        <v>0.351563</v>
      </c>
      <c r="F71">
        <v>6.7</v>
      </c>
      <c r="G71">
        <v>1</v>
      </c>
      <c r="H71">
        <v>17</v>
      </c>
      <c r="I71">
        <v>44</v>
      </c>
      <c r="J71">
        <v>36</v>
      </c>
      <c r="K71">
        <v>20</v>
      </c>
      <c r="L71" t="s">
        <v>57</v>
      </c>
      <c r="M71" t="s">
        <v>58</v>
      </c>
      <c r="N71" t="s">
        <v>59</v>
      </c>
      <c r="O71">
        <v>0.49518576828</v>
      </c>
      <c r="P71">
        <f t="shared" si="2"/>
        <v>1.40852640431445</v>
      </c>
      <c r="Q71">
        <f t="shared" si="3"/>
        <v>0.342544054565712</v>
      </c>
      <c r="R71">
        <v>150</v>
      </c>
      <c r="S71" t="s">
        <v>60</v>
      </c>
      <c r="T71" t="s">
        <v>61</v>
      </c>
      <c r="U71" t="s">
        <v>62</v>
      </c>
      <c r="V71">
        <v>1</v>
      </c>
      <c r="W71">
        <v>0</v>
      </c>
      <c r="X71">
        <v>1</v>
      </c>
      <c r="Y71">
        <v>1</v>
      </c>
      <c r="Z71">
        <v>0</v>
      </c>
      <c r="AA71">
        <v>0</v>
      </c>
      <c r="AB71">
        <v>1</v>
      </c>
      <c r="AC71">
        <v>0</v>
      </c>
      <c r="AD71">
        <v>1</v>
      </c>
      <c r="AE71" s="5">
        <v>12.8254166666667</v>
      </c>
      <c r="AF71" s="5">
        <v>4.27882137345679</v>
      </c>
      <c r="AG71" s="5">
        <v>0.653062667189842</v>
      </c>
      <c r="AH71" s="5">
        <v>16.12</v>
      </c>
      <c r="AI71" s="5">
        <v>0.459647294455008</v>
      </c>
      <c r="AJ71" s="5">
        <v>-0.47662745733429</v>
      </c>
      <c r="AK71" s="5">
        <v>0.47662745733429</v>
      </c>
      <c r="AL71" s="5">
        <v>0.459647294455008</v>
      </c>
      <c r="AM71" s="5">
        <v>9.90907137329749</v>
      </c>
      <c r="AN71" s="5">
        <v>-0.449718247791216</v>
      </c>
      <c r="AO71" s="5">
        <v>-1.58</v>
      </c>
      <c r="AP71" s="5">
        <v>39741.8973369129</v>
      </c>
      <c r="AQ71" s="5">
        <v>2.73920148528388</v>
      </c>
      <c r="AR71" s="5">
        <v>0</v>
      </c>
      <c r="AS71" s="5">
        <v>4.79453718407182</v>
      </c>
      <c r="AT71" s="5">
        <v>0</v>
      </c>
      <c r="AU71" s="5">
        <v>0</v>
      </c>
      <c r="AV71" s="5">
        <v>0</v>
      </c>
      <c r="AW71" s="5">
        <v>0</v>
      </c>
      <c r="AX71" s="5">
        <v>5.10652739484071</v>
      </c>
      <c r="AY71" s="5">
        <v>-7.69383775037793</v>
      </c>
      <c r="AZ71" s="5">
        <v>0.875</v>
      </c>
      <c r="BA71" s="5">
        <v>1</v>
      </c>
    </row>
    <row r="72" hidden="1" spans="1:53">
      <c r="A72" t="s">
        <v>53</v>
      </c>
      <c r="B72" t="s">
        <v>80</v>
      </c>
      <c r="C72" t="s">
        <v>55</v>
      </c>
      <c r="D72" s="4" t="s">
        <v>67</v>
      </c>
      <c r="E72">
        <v>0.0234369999999999</v>
      </c>
      <c r="F72">
        <v>6.7</v>
      </c>
      <c r="G72">
        <v>1</v>
      </c>
      <c r="H72">
        <v>17</v>
      </c>
      <c r="I72">
        <v>44</v>
      </c>
      <c r="J72">
        <v>36</v>
      </c>
      <c r="K72">
        <v>20</v>
      </c>
      <c r="L72" t="s">
        <v>57</v>
      </c>
      <c r="M72" t="s">
        <v>58</v>
      </c>
      <c r="N72" t="s">
        <v>59</v>
      </c>
      <c r="O72">
        <v>0.86814059605</v>
      </c>
      <c r="P72">
        <f t="shared" si="2"/>
        <v>37.0414556491873</v>
      </c>
      <c r="Q72">
        <f t="shared" si="3"/>
        <v>3.61203770838989</v>
      </c>
      <c r="R72">
        <v>150</v>
      </c>
      <c r="S72" t="s">
        <v>60</v>
      </c>
      <c r="T72" t="s">
        <v>61</v>
      </c>
      <c r="U72" t="s">
        <v>62</v>
      </c>
      <c r="V72">
        <v>1</v>
      </c>
      <c r="W72">
        <v>0</v>
      </c>
      <c r="X72">
        <v>1</v>
      </c>
      <c r="Y72">
        <v>1</v>
      </c>
      <c r="Z72">
        <v>0</v>
      </c>
      <c r="AA72">
        <v>0</v>
      </c>
      <c r="AB72">
        <v>1</v>
      </c>
      <c r="AC72">
        <v>0</v>
      </c>
      <c r="AD72">
        <v>1</v>
      </c>
      <c r="AE72" s="5">
        <v>13.0371419123205</v>
      </c>
      <c r="AF72" s="5">
        <v>7.66829457707096</v>
      </c>
      <c r="AG72" s="5">
        <v>0.402493807679921</v>
      </c>
      <c r="AH72" s="5">
        <v>16.8965517241379</v>
      </c>
      <c r="AI72" s="5">
        <v>0.459647294440031</v>
      </c>
      <c r="AJ72" s="5">
        <v>-0.280752999575314</v>
      </c>
      <c r="AK72" s="5">
        <v>0.459647294440031</v>
      </c>
      <c r="AL72" s="5">
        <v>0.280752999575314</v>
      </c>
      <c r="AM72" s="5">
        <v>9.90856544965598</v>
      </c>
      <c r="AN72" s="5">
        <v>-0.457885273814649</v>
      </c>
      <c r="AO72" s="5">
        <v>-1.28</v>
      </c>
      <c r="AP72" s="5">
        <v>176558.643253875</v>
      </c>
      <c r="AQ72" s="5">
        <v>3.26474212239717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4.55274987369036</v>
      </c>
      <c r="AY72" s="5">
        <v>-7.88274914441085</v>
      </c>
      <c r="AZ72" s="5">
        <v>1</v>
      </c>
      <c r="BA72" s="5">
        <v>1</v>
      </c>
    </row>
    <row r="73" hidden="1" spans="1:53">
      <c r="A73" t="s">
        <v>53</v>
      </c>
      <c r="B73" t="s">
        <v>81</v>
      </c>
      <c r="C73" t="s">
        <v>55</v>
      </c>
      <c r="D73" s="4" t="s">
        <v>63</v>
      </c>
      <c r="E73">
        <v>0.269532</v>
      </c>
      <c r="F73">
        <v>6.7</v>
      </c>
      <c r="G73">
        <v>1</v>
      </c>
      <c r="H73">
        <v>17</v>
      </c>
      <c r="I73">
        <v>44</v>
      </c>
      <c r="J73">
        <v>36</v>
      </c>
      <c r="K73">
        <v>20</v>
      </c>
      <c r="L73" t="s">
        <v>57</v>
      </c>
      <c r="M73" t="s">
        <v>58</v>
      </c>
      <c r="N73" t="s">
        <v>59</v>
      </c>
      <c r="O73">
        <v>0.42957099549</v>
      </c>
      <c r="P73">
        <f t="shared" si="2"/>
        <v>1.59376621510618</v>
      </c>
      <c r="Q73">
        <f t="shared" si="3"/>
        <v>0.466099904057115</v>
      </c>
      <c r="R73">
        <v>150</v>
      </c>
      <c r="S73" t="s">
        <v>60</v>
      </c>
      <c r="T73" t="s">
        <v>61</v>
      </c>
      <c r="U73" t="s">
        <v>62</v>
      </c>
      <c r="V73">
        <v>1</v>
      </c>
      <c r="W73">
        <v>0</v>
      </c>
      <c r="X73">
        <v>1</v>
      </c>
      <c r="Y73">
        <v>1</v>
      </c>
      <c r="Z73">
        <v>0</v>
      </c>
      <c r="AA73">
        <v>0</v>
      </c>
      <c r="AB73">
        <v>1</v>
      </c>
      <c r="AC73">
        <v>0</v>
      </c>
      <c r="AD73">
        <v>1</v>
      </c>
      <c r="AE73" s="5">
        <v>12.2120833333333</v>
      </c>
      <c r="AF73" s="5">
        <v>7.00097222222222</v>
      </c>
      <c r="AG73" s="5">
        <v>0.642528075697275</v>
      </c>
      <c r="AH73" s="5">
        <v>16.1176470588235</v>
      </c>
      <c r="AI73" s="5">
        <v>0.459694901747447</v>
      </c>
      <c r="AJ73" s="5">
        <v>-0.280752981483328</v>
      </c>
      <c r="AK73" s="5">
        <v>0.459694901747447</v>
      </c>
      <c r="AL73" s="5">
        <v>0.280752981483328</v>
      </c>
      <c r="AM73" s="5">
        <v>10.1452721658031</v>
      </c>
      <c r="AN73" s="5">
        <v>-0.382289160206052</v>
      </c>
      <c r="AO73" s="5">
        <v>-0.72</v>
      </c>
      <c r="AP73" s="5">
        <v>1212.20967645111</v>
      </c>
      <c r="AQ73" s="5">
        <v>2.16502218725737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4.55274987369036</v>
      </c>
      <c r="AY73" s="5">
        <v>-7.13430555555556</v>
      </c>
      <c r="AZ73" s="5">
        <v>1</v>
      </c>
      <c r="BA73" s="5">
        <v>1</v>
      </c>
    </row>
    <row r="74" hidden="1" spans="1:53">
      <c r="A74" t="s">
        <v>53</v>
      </c>
      <c r="B74" t="s">
        <v>81</v>
      </c>
      <c r="C74" t="s">
        <v>55</v>
      </c>
      <c r="D74" s="4" t="s">
        <v>65</v>
      </c>
      <c r="E74">
        <v>0.0234380000000001</v>
      </c>
      <c r="F74">
        <v>6.7</v>
      </c>
      <c r="G74">
        <v>1</v>
      </c>
      <c r="H74">
        <v>17</v>
      </c>
      <c r="I74">
        <v>44</v>
      </c>
      <c r="J74">
        <v>36</v>
      </c>
      <c r="K74">
        <v>20</v>
      </c>
      <c r="L74" t="s">
        <v>57</v>
      </c>
      <c r="M74" t="s">
        <v>58</v>
      </c>
      <c r="N74" t="s">
        <v>59</v>
      </c>
      <c r="O74">
        <v>0.12887032977</v>
      </c>
      <c r="P74">
        <f t="shared" si="2"/>
        <v>5.49835010538439</v>
      </c>
      <c r="Q74">
        <f t="shared" si="3"/>
        <v>1.70444806639597</v>
      </c>
      <c r="R74">
        <v>150</v>
      </c>
      <c r="S74" t="s">
        <v>60</v>
      </c>
      <c r="T74" t="s">
        <v>61</v>
      </c>
      <c r="U74" t="s">
        <v>62</v>
      </c>
      <c r="V74">
        <v>1</v>
      </c>
      <c r="W74">
        <v>0</v>
      </c>
      <c r="X74">
        <v>1</v>
      </c>
      <c r="Y74">
        <v>1</v>
      </c>
      <c r="Z74">
        <v>0</v>
      </c>
      <c r="AA74">
        <v>0</v>
      </c>
      <c r="AB74">
        <v>1</v>
      </c>
      <c r="AC74">
        <v>0</v>
      </c>
      <c r="AD74">
        <v>1</v>
      </c>
      <c r="AE74" s="5">
        <v>12.6956944444444</v>
      </c>
      <c r="AF74" s="5">
        <v>7.51923752834467</v>
      </c>
      <c r="AG74" s="5">
        <v>0.567423483996869</v>
      </c>
      <c r="AH74" s="5">
        <v>16.6086956521739</v>
      </c>
      <c r="AI74" s="5">
        <v>0.459647303367286</v>
      </c>
      <c r="AJ74" s="5">
        <v>-0.280752999575136</v>
      </c>
      <c r="AK74" s="5">
        <v>0.459647303367286</v>
      </c>
      <c r="AL74" s="5">
        <v>0.280752999575136</v>
      </c>
      <c r="AM74" s="5">
        <v>9.97962409166519</v>
      </c>
      <c r="AN74" s="5">
        <v>-0.433260944725331</v>
      </c>
      <c r="AO74" s="5">
        <v>-1</v>
      </c>
      <c r="AP74" s="5">
        <v>14934.5346948423</v>
      </c>
      <c r="AQ74" s="5">
        <v>2.69882520469918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4.55274987369036</v>
      </c>
      <c r="AY74" s="5">
        <v>-7.5938637329932</v>
      </c>
      <c r="AZ74" s="5">
        <v>1</v>
      </c>
      <c r="BA74" s="5">
        <v>1</v>
      </c>
    </row>
    <row r="75" hidden="1" spans="1:53">
      <c r="A75" t="s">
        <v>53</v>
      </c>
      <c r="B75" t="s">
        <v>81</v>
      </c>
      <c r="C75" t="s">
        <v>55</v>
      </c>
      <c r="D75" s="4" t="s">
        <v>66</v>
      </c>
      <c r="E75">
        <v>0.562496</v>
      </c>
      <c r="F75">
        <v>6.7</v>
      </c>
      <c r="G75">
        <v>1</v>
      </c>
      <c r="H75">
        <v>17</v>
      </c>
      <c r="I75">
        <v>44</v>
      </c>
      <c r="J75">
        <v>36</v>
      </c>
      <c r="K75">
        <v>20</v>
      </c>
      <c r="L75" t="s">
        <v>57</v>
      </c>
      <c r="M75" t="s">
        <v>58</v>
      </c>
      <c r="N75" t="s">
        <v>59</v>
      </c>
      <c r="O75">
        <v>0.65216725665</v>
      </c>
      <c r="P75">
        <f t="shared" si="2"/>
        <v>1.15941670100765</v>
      </c>
      <c r="Q75">
        <f t="shared" si="3"/>
        <v>0.147917034690931</v>
      </c>
      <c r="R75">
        <v>150</v>
      </c>
      <c r="S75" t="s">
        <v>60</v>
      </c>
      <c r="T75" t="s">
        <v>61</v>
      </c>
      <c r="U75" t="s">
        <v>62</v>
      </c>
      <c r="V75">
        <v>1</v>
      </c>
      <c r="W75">
        <v>0</v>
      </c>
      <c r="X75">
        <v>1</v>
      </c>
      <c r="Y75">
        <v>1</v>
      </c>
      <c r="Z75">
        <v>0</v>
      </c>
      <c r="AA75">
        <v>0</v>
      </c>
      <c r="AB75">
        <v>1</v>
      </c>
      <c r="AC75">
        <v>0</v>
      </c>
      <c r="AD75">
        <v>1</v>
      </c>
      <c r="AE75" s="5">
        <v>12.8254166666667</v>
      </c>
      <c r="AF75" s="5">
        <v>4.27882137345679</v>
      </c>
      <c r="AG75" s="5">
        <v>0.653062667189842</v>
      </c>
      <c r="AH75" s="5">
        <v>16.12</v>
      </c>
      <c r="AI75" s="5">
        <v>0.459647294455008</v>
      </c>
      <c r="AJ75" s="5">
        <v>-0.47662745733429</v>
      </c>
      <c r="AK75" s="5">
        <v>0.47662745733429</v>
      </c>
      <c r="AL75" s="5">
        <v>0.459647294455008</v>
      </c>
      <c r="AM75" s="5">
        <v>9.90907137329749</v>
      </c>
      <c r="AN75" s="5">
        <v>-0.449718247791216</v>
      </c>
      <c r="AO75" s="5">
        <v>-1.58</v>
      </c>
      <c r="AP75" s="5">
        <v>39741.8973369129</v>
      </c>
      <c r="AQ75" s="5">
        <v>2.73920148528388</v>
      </c>
      <c r="AR75" s="5">
        <v>0</v>
      </c>
      <c r="AS75" s="5">
        <v>4.79453718407182</v>
      </c>
      <c r="AT75" s="5">
        <v>0</v>
      </c>
      <c r="AU75" s="5">
        <v>0</v>
      </c>
      <c r="AV75" s="5">
        <v>0</v>
      </c>
      <c r="AW75" s="5">
        <v>0</v>
      </c>
      <c r="AX75" s="5">
        <v>5.10652739484071</v>
      </c>
      <c r="AY75" s="5">
        <v>-7.69383775037793</v>
      </c>
      <c r="AZ75" s="5">
        <v>0.875</v>
      </c>
      <c r="BA75" s="5">
        <v>1</v>
      </c>
    </row>
    <row r="76" hidden="1" spans="1:53">
      <c r="A76" t="s">
        <v>53</v>
      </c>
      <c r="B76" t="s">
        <v>81</v>
      </c>
      <c r="C76" t="s">
        <v>55</v>
      </c>
      <c r="D76" s="4" t="s">
        <v>67</v>
      </c>
      <c r="E76">
        <v>0.0234400000000001</v>
      </c>
      <c r="F76">
        <v>6.7</v>
      </c>
      <c r="G76">
        <v>1</v>
      </c>
      <c r="H76">
        <v>17</v>
      </c>
      <c r="I76">
        <v>44</v>
      </c>
      <c r="J76">
        <v>36</v>
      </c>
      <c r="K76">
        <v>20</v>
      </c>
      <c r="L76" t="s">
        <v>57</v>
      </c>
      <c r="M76" t="s">
        <v>58</v>
      </c>
      <c r="N76" t="s">
        <v>59</v>
      </c>
      <c r="O76">
        <v>1.03487367165</v>
      </c>
      <c r="P76">
        <f t="shared" si="2"/>
        <v>44.1499006676619</v>
      </c>
      <c r="Q76">
        <f t="shared" si="3"/>
        <v>3.78759067716436</v>
      </c>
      <c r="R76">
        <v>150</v>
      </c>
      <c r="S76" t="s">
        <v>60</v>
      </c>
      <c r="T76" t="s">
        <v>61</v>
      </c>
      <c r="U76" t="s">
        <v>62</v>
      </c>
      <c r="V76">
        <v>1</v>
      </c>
      <c r="W76">
        <v>0</v>
      </c>
      <c r="X76">
        <v>1</v>
      </c>
      <c r="Y76">
        <v>1</v>
      </c>
      <c r="Z76">
        <v>0</v>
      </c>
      <c r="AA76">
        <v>0</v>
      </c>
      <c r="AB76">
        <v>1</v>
      </c>
      <c r="AC76">
        <v>0</v>
      </c>
      <c r="AD76">
        <v>1</v>
      </c>
      <c r="AE76" s="5">
        <v>13.0371419123205</v>
      </c>
      <c r="AF76" s="5">
        <v>7.66829457707096</v>
      </c>
      <c r="AG76" s="5">
        <v>0.402493807679921</v>
      </c>
      <c r="AH76" s="5">
        <v>16.8965517241379</v>
      </c>
      <c r="AI76" s="5">
        <v>0.459647294440031</v>
      </c>
      <c r="AJ76" s="5">
        <v>-0.280752999575314</v>
      </c>
      <c r="AK76" s="5">
        <v>0.459647294440031</v>
      </c>
      <c r="AL76" s="5">
        <v>0.280752999575314</v>
      </c>
      <c r="AM76" s="5">
        <v>9.90856544965598</v>
      </c>
      <c r="AN76" s="5">
        <v>-0.457885273814649</v>
      </c>
      <c r="AO76" s="5">
        <v>-1.28</v>
      </c>
      <c r="AP76" s="5">
        <v>176558.643253875</v>
      </c>
      <c r="AQ76" s="5">
        <v>3.26474212239717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4.55274987369036</v>
      </c>
      <c r="AY76" s="5">
        <v>-7.88274914441085</v>
      </c>
      <c r="AZ76" s="5">
        <v>1</v>
      </c>
      <c r="BA76" s="5">
        <v>1</v>
      </c>
    </row>
    <row r="77" hidden="1" spans="1:53">
      <c r="A77" t="s">
        <v>53</v>
      </c>
      <c r="B77" t="s">
        <v>82</v>
      </c>
      <c r="C77" t="s">
        <v>55</v>
      </c>
      <c r="D77" s="4" t="s">
        <v>63</v>
      </c>
      <c r="E77">
        <v>0.152344</v>
      </c>
      <c r="F77">
        <v>6.7</v>
      </c>
      <c r="G77">
        <v>1</v>
      </c>
      <c r="H77">
        <v>17</v>
      </c>
      <c r="I77">
        <v>44</v>
      </c>
      <c r="J77">
        <v>36</v>
      </c>
      <c r="K77">
        <v>20</v>
      </c>
      <c r="L77" t="s">
        <v>57</v>
      </c>
      <c r="M77" t="s">
        <v>58</v>
      </c>
      <c r="N77" t="s">
        <v>59</v>
      </c>
      <c r="O77">
        <v>0.247614505866</v>
      </c>
      <c r="P77">
        <f t="shared" si="2"/>
        <v>1.62536434559943</v>
      </c>
      <c r="Q77">
        <f t="shared" si="3"/>
        <v>0.485732003326369</v>
      </c>
      <c r="R77">
        <v>150</v>
      </c>
      <c r="S77" t="s">
        <v>60</v>
      </c>
      <c r="T77" t="s">
        <v>61</v>
      </c>
      <c r="U77" t="s">
        <v>62</v>
      </c>
      <c r="V77">
        <v>1</v>
      </c>
      <c r="W77">
        <v>0</v>
      </c>
      <c r="X77">
        <v>1</v>
      </c>
      <c r="Y77">
        <v>1</v>
      </c>
      <c r="Z77">
        <v>0</v>
      </c>
      <c r="AA77">
        <v>0</v>
      </c>
      <c r="AB77">
        <v>1</v>
      </c>
      <c r="AC77">
        <v>0</v>
      </c>
      <c r="AD77">
        <v>1</v>
      </c>
      <c r="AE77" s="5">
        <v>12.2120833333333</v>
      </c>
      <c r="AF77" s="5">
        <v>7.00097222222222</v>
      </c>
      <c r="AG77" s="5">
        <v>0.642528075697275</v>
      </c>
      <c r="AH77" s="5">
        <v>16.1176470588235</v>
      </c>
      <c r="AI77" s="5">
        <v>0.459694901747447</v>
      </c>
      <c r="AJ77" s="5">
        <v>-0.280752981483328</v>
      </c>
      <c r="AK77" s="5">
        <v>0.459694901747447</v>
      </c>
      <c r="AL77" s="5">
        <v>0.280752981483328</v>
      </c>
      <c r="AM77" s="5">
        <v>10.1452721658031</v>
      </c>
      <c r="AN77" s="5">
        <v>-0.382289160206052</v>
      </c>
      <c r="AO77" s="5">
        <v>-0.72</v>
      </c>
      <c r="AP77" s="5">
        <v>1212.20967645111</v>
      </c>
      <c r="AQ77" s="5">
        <v>2.16502218725737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4.55274987369036</v>
      </c>
      <c r="AY77" s="5">
        <v>-7.13430555555556</v>
      </c>
      <c r="AZ77" s="5">
        <v>1</v>
      </c>
      <c r="BA77" s="5">
        <v>1</v>
      </c>
    </row>
    <row r="78" hidden="1" spans="1:53">
      <c r="A78" t="s">
        <v>53</v>
      </c>
      <c r="B78" t="s">
        <v>82</v>
      </c>
      <c r="C78" t="s">
        <v>55</v>
      </c>
      <c r="D78" s="4" t="s">
        <v>65</v>
      </c>
      <c r="E78">
        <v>0.035157</v>
      </c>
      <c r="F78">
        <v>6.7</v>
      </c>
      <c r="G78">
        <v>1</v>
      </c>
      <c r="H78">
        <v>17</v>
      </c>
      <c r="I78">
        <v>44</v>
      </c>
      <c r="J78">
        <v>36</v>
      </c>
      <c r="K78">
        <v>20</v>
      </c>
      <c r="L78" t="s">
        <v>57</v>
      </c>
      <c r="M78" t="s">
        <v>58</v>
      </c>
      <c r="N78" t="s">
        <v>59</v>
      </c>
      <c r="O78">
        <v>0.13333207524</v>
      </c>
      <c r="P78">
        <f t="shared" si="2"/>
        <v>3.79247590067412</v>
      </c>
      <c r="Q78">
        <f t="shared" si="3"/>
        <v>1.33301907775078</v>
      </c>
      <c r="R78">
        <v>150</v>
      </c>
      <c r="S78" t="s">
        <v>60</v>
      </c>
      <c r="T78" t="s">
        <v>61</v>
      </c>
      <c r="U78" t="s">
        <v>62</v>
      </c>
      <c r="V78">
        <v>1</v>
      </c>
      <c r="W78">
        <v>0</v>
      </c>
      <c r="X78">
        <v>1</v>
      </c>
      <c r="Y78">
        <v>1</v>
      </c>
      <c r="Z78">
        <v>0</v>
      </c>
      <c r="AA78">
        <v>0</v>
      </c>
      <c r="AB78">
        <v>1</v>
      </c>
      <c r="AC78">
        <v>0</v>
      </c>
      <c r="AD78">
        <v>1</v>
      </c>
      <c r="AE78" s="5">
        <v>12.6956944444444</v>
      </c>
      <c r="AF78" s="5">
        <v>7.51923752834467</v>
      </c>
      <c r="AG78" s="5">
        <v>0.567423483996869</v>
      </c>
      <c r="AH78" s="5">
        <v>16.6086956521739</v>
      </c>
      <c r="AI78" s="5">
        <v>0.459647303367286</v>
      </c>
      <c r="AJ78" s="5">
        <v>-0.280752999575136</v>
      </c>
      <c r="AK78" s="5">
        <v>0.459647303367286</v>
      </c>
      <c r="AL78" s="5">
        <v>0.280752999575136</v>
      </c>
      <c r="AM78" s="5">
        <v>9.97962409166519</v>
      </c>
      <c r="AN78" s="5">
        <v>-0.433260944725331</v>
      </c>
      <c r="AO78" s="5">
        <v>-1</v>
      </c>
      <c r="AP78" s="5">
        <v>14934.5346948423</v>
      </c>
      <c r="AQ78" s="5">
        <v>2.69882520469918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4.55274987369036</v>
      </c>
      <c r="AY78" s="5">
        <v>-7.5938637329932</v>
      </c>
      <c r="AZ78" s="5">
        <v>1</v>
      </c>
      <c r="BA78" s="5">
        <v>1</v>
      </c>
    </row>
    <row r="79" hidden="1" spans="1:53">
      <c r="A79" t="s">
        <v>53</v>
      </c>
      <c r="B79" t="s">
        <v>82</v>
      </c>
      <c r="C79" t="s">
        <v>55</v>
      </c>
      <c r="D79" s="4" t="s">
        <v>66</v>
      </c>
      <c r="E79">
        <v>0.316406</v>
      </c>
      <c r="F79">
        <v>6.7</v>
      </c>
      <c r="G79">
        <v>1</v>
      </c>
      <c r="H79">
        <v>17</v>
      </c>
      <c r="I79">
        <v>44</v>
      </c>
      <c r="J79">
        <v>36</v>
      </c>
      <c r="K79">
        <v>20</v>
      </c>
      <c r="L79" t="s">
        <v>57</v>
      </c>
      <c r="M79" t="s">
        <v>58</v>
      </c>
      <c r="N79" t="s">
        <v>59</v>
      </c>
      <c r="O79">
        <v>0.69713123844</v>
      </c>
      <c r="P79">
        <f t="shared" si="2"/>
        <v>2.20328071667415</v>
      </c>
      <c r="Q79">
        <f t="shared" si="3"/>
        <v>0.789947484429622</v>
      </c>
      <c r="R79">
        <v>150</v>
      </c>
      <c r="S79" t="s">
        <v>60</v>
      </c>
      <c r="T79" t="s">
        <v>61</v>
      </c>
      <c r="U79" t="s">
        <v>62</v>
      </c>
      <c r="V79">
        <v>1</v>
      </c>
      <c r="W79">
        <v>0</v>
      </c>
      <c r="X79">
        <v>1</v>
      </c>
      <c r="Y79">
        <v>1</v>
      </c>
      <c r="Z79">
        <v>0</v>
      </c>
      <c r="AA79">
        <v>0</v>
      </c>
      <c r="AB79">
        <v>1</v>
      </c>
      <c r="AC79">
        <v>0</v>
      </c>
      <c r="AD79">
        <v>1</v>
      </c>
      <c r="AE79" s="5">
        <v>12.8254166666667</v>
      </c>
      <c r="AF79" s="5">
        <v>4.27882137345679</v>
      </c>
      <c r="AG79" s="5">
        <v>0.653062667189842</v>
      </c>
      <c r="AH79" s="5">
        <v>16.12</v>
      </c>
      <c r="AI79" s="5">
        <v>0.459647294455008</v>
      </c>
      <c r="AJ79" s="5">
        <v>-0.47662745733429</v>
      </c>
      <c r="AK79" s="5">
        <v>0.47662745733429</v>
      </c>
      <c r="AL79" s="5">
        <v>0.459647294455008</v>
      </c>
      <c r="AM79" s="5">
        <v>9.90907137329749</v>
      </c>
      <c r="AN79" s="5">
        <v>-0.449718247791216</v>
      </c>
      <c r="AO79" s="5">
        <v>-1.58</v>
      </c>
      <c r="AP79" s="5">
        <v>39741.8973369129</v>
      </c>
      <c r="AQ79" s="5">
        <v>2.73920148528388</v>
      </c>
      <c r="AR79" s="5">
        <v>0</v>
      </c>
      <c r="AS79" s="5">
        <v>4.79453718407182</v>
      </c>
      <c r="AT79" s="5">
        <v>0</v>
      </c>
      <c r="AU79" s="5">
        <v>0</v>
      </c>
      <c r="AV79" s="5">
        <v>0</v>
      </c>
      <c r="AW79" s="5">
        <v>0</v>
      </c>
      <c r="AX79" s="5">
        <v>5.10652739484071</v>
      </c>
      <c r="AY79" s="5">
        <v>-7.69383775037793</v>
      </c>
      <c r="AZ79" s="5">
        <v>0.875</v>
      </c>
      <c r="BA79" s="5">
        <v>1</v>
      </c>
    </row>
    <row r="80" hidden="1" spans="1:53">
      <c r="A80" t="s">
        <v>53</v>
      </c>
      <c r="B80" t="s">
        <v>82</v>
      </c>
      <c r="C80" t="s">
        <v>55</v>
      </c>
      <c r="D80" s="4" t="s">
        <v>67</v>
      </c>
      <c r="E80">
        <v>0.035156</v>
      </c>
      <c r="F80">
        <v>6.7</v>
      </c>
      <c r="G80">
        <v>1</v>
      </c>
      <c r="H80">
        <v>17</v>
      </c>
      <c r="I80">
        <v>44</v>
      </c>
      <c r="J80">
        <v>36</v>
      </c>
      <c r="K80">
        <v>20</v>
      </c>
      <c r="L80" t="s">
        <v>57</v>
      </c>
      <c r="M80" t="s">
        <v>58</v>
      </c>
      <c r="N80" t="s">
        <v>59</v>
      </c>
      <c r="O80">
        <v>1.08569458998</v>
      </c>
      <c r="P80">
        <f>O80/E80</f>
        <v>30.8821990550688</v>
      </c>
      <c r="Q80">
        <f t="shared" si="3"/>
        <v>3.43017993554427</v>
      </c>
      <c r="R80">
        <v>150</v>
      </c>
      <c r="S80" t="s">
        <v>60</v>
      </c>
      <c r="T80" t="s">
        <v>61</v>
      </c>
      <c r="U80" t="s">
        <v>62</v>
      </c>
      <c r="V80">
        <v>1</v>
      </c>
      <c r="W80">
        <v>0</v>
      </c>
      <c r="X80">
        <v>1</v>
      </c>
      <c r="Y80">
        <v>1</v>
      </c>
      <c r="Z80">
        <v>0</v>
      </c>
      <c r="AA80">
        <v>0</v>
      </c>
      <c r="AB80">
        <v>1</v>
      </c>
      <c r="AC80">
        <v>0</v>
      </c>
      <c r="AD80">
        <v>1</v>
      </c>
      <c r="AE80" s="5">
        <v>13.0371419123205</v>
      </c>
      <c r="AF80" s="5">
        <v>7.66829457707096</v>
      </c>
      <c r="AG80" s="5">
        <v>0.402493807679921</v>
      </c>
      <c r="AH80" s="5">
        <v>16.8965517241379</v>
      </c>
      <c r="AI80" s="5">
        <v>0.459647294440031</v>
      </c>
      <c r="AJ80" s="5">
        <v>-0.280752999575314</v>
      </c>
      <c r="AK80" s="5">
        <v>0.459647294440031</v>
      </c>
      <c r="AL80" s="5">
        <v>0.280752999575314</v>
      </c>
      <c r="AM80" s="5">
        <v>9.90856544965598</v>
      </c>
      <c r="AN80" s="5">
        <v>-0.457885273814649</v>
      </c>
      <c r="AO80" s="5">
        <v>-1.28</v>
      </c>
      <c r="AP80" s="5">
        <v>176558.643253875</v>
      </c>
      <c r="AQ80" s="5">
        <v>3.26474212239717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0</v>
      </c>
      <c r="AX80" s="5">
        <v>4.55274987369036</v>
      </c>
      <c r="AY80" s="5">
        <v>-7.88274914441085</v>
      </c>
      <c r="AZ80" s="5">
        <v>1</v>
      </c>
      <c r="BA80" s="5">
        <v>1</v>
      </c>
    </row>
    <row r="81" hidden="1" spans="1:53">
      <c r="A81" t="s">
        <v>53</v>
      </c>
      <c r="B81" t="s">
        <v>83</v>
      </c>
      <c r="C81" t="s">
        <v>55</v>
      </c>
      <c r="D81" s="4" t="s">
        <v>63</v>
      </c>
      <c r="E81">
        <v>0.082032</v>
      </c>
      <c r="F81">
        <v>6.7</v>
      </c>
      <c r="G81">
        <v>1</v>
      </c>
      <c r="H81">
        <v>17</v>
      </c>
      <c r="I81">
        <v>44</v>
      </c>
      <c r="J81">
        <v>36</v>
      </c>
      <c r="K81">
        <v>20</v>
      </c>
      <c r="L81" t="s">
        <v>57</v>
      </c>
      <c r="M81" t="s">
        <v>58</v>
      </c>
      <c r="N81" t="s">
        <v>59</v>
      </c>
      <c r="O81">
        <v>0.215441583084</v>
      </c>
      <c r="P81">
        <f>O81/E81</f>
        <v>2.62631147703335</v>
      </c>
      <c r="Q81">
        <f t="shared" si="3"/>
        <v>0.965580381578336</v>
      </c>
      <c r="R81">
        <v>150</v>
      </c>
      <c r="S81" t="s">
        <v>60</v>
      </c>
      <c r="T81" t="s">
        <v>61</v>
      </c>
      <c r="U81" t="s">
        <v>62</v>
      </c>
      <c r="V81">
        <v>1</v>
      </c>
      <c r="W81">
        <v>0</v>
      </c>
      <c r="X81">
        <v>1</v>
      </c>
      <c r="Y81">
        <v>1</v>
      </c>
      <c r="Z81">
        <v>0</v>
      </c>
      <c r="AA81">
        <v>0</v>
      </c>
      <c r="AB81">
        <v>1</v>
      </c>
      <c r="AC81">
        <v>0</v>
      </c>
      <c r="AD81">
        <v>1</v>
      </c>
      <c r="AE81" s="5">
        <v>12.2120833333333</v>
      </c>
      <c r="AF81" s="5">
        <v>7.00097222222222</v>
      </c>
      <c r="AG81" s="5">
        <v>0.642528075697275</v>
      </c>
      <c r="AH81" s="5">
        <v>16.1176470588235</v>
      </c>
      <c r="AI81" s="5">
        <v>0.459694901747447</v>
      </c>
      <c r="AJ81" s="5">
        <v>-0.280752981483328</v>
      </c>
      <c r="AK81" s="5">
        <v>0.459694901747447</v>
      </c>
      <c r="AL81" s="5">
        <v>0.280752981483328</v>
      </c>
      <c r="AM81" s="5">
        <v>10.1452721658031</v>
      </c>
      <c r="AN81" s="5">
        <v>-0.382289160206052</v>
      </c>
      <c r="AO81" s="5">
        <v>-0.72</v>
      </c>
      <c r="AP81" s="5">
        <v>1212.20967645111</v>
      </c>
      <c r="AQ81" s="5">
        <v>2.16502218725737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4.55274987369036</v>
      </c>
      <c r="AY81" s="5">
        <v>-7.13430555555556</v>
      </c>
      <c r="AZ81" s="5">
        <v>1</v>
      </c>
      <c r="BA81" s="5">
        <v>1</v>
      </c>
    </row>
    <row r="82" hidden="1" spans="1:53">
      <c r="A82" t="s">
        <v>53</v>
      </c>
      <c r="B82" t="s">
        <v>83</v>
      </c>
      <c r="C82" t="s">
        <v>55</v>
      </c>
      <c r="D82" s="4" t="s">
        <v>65</v>
      </c>
      <c r="E82">
        <v>0.058594</v>
      </c>
      <c r="F82">
        <v>6.7</v>
      </c>
      <c r="G82">
        <v>1</v>
      </c>
      <c r="H82">
        <v>17</v>
      </c>
      <c r="I82">
        <v>44</v>
      </c>
      <c r="J82">
        <v>36</v>
      </c>
      <c r="K82">
        <v>20</v>
      </c>
      <c r="L82" t="s">
        <v>57</v>
      </c>
      <c r="M82" t="s">
        <v>58</v>
      </c>
      <c r="N82" t="s">
        <v>59</v>
      </c>
      <c r="O82">
        <v>0.17627197644</v>
      </c>
      <c r="P82">
        <f>O82/E82</f>
        <v>3.00836222889716</v>
      </c>
      <c r="Q82">
        <f t="shared" si="3"/>
        <v>1.10139582067828</v>
      </c>
      <c r="R82">
        <v>150</v>
      </c>
      <c r="S82" t="s">
        <v>60</v>
      </c>
      <c r="T82" t="s">
        <v>61</v>
      </c>
      <c r="U82" t="s">
        <v>62</v>
      </c>
      <c r="V82">
        <v>1</v>
      </c>
      <c r="W82">
        <v>0</v>
      </c>
      <c r="X82">
        <v>1</v>
      </c>
      <c r="Y82">
        <v>1</v>
      </c>
      <c r="Z82">
        <v>0</v>
      </c>
      <c r="AA82">
        <v>0</v>
      </c>
      <c r="AB82">
        <v>1</v>
      </c>
      <c r="AC82">
        <v>0</v>
      </c>
      <c r="AD82">
        <v>1</v>
      </c>
      <c r="AE82" s="5">
        <v>12.6956944444444</v>
      </c>
      <c r="AF82" s="5">
        <v>7.51923752834467</v>
      </c>
      <c r="AG82" s="5">
        <v>0.567423483996869</v>
      </c>
      <c r="AH82" s="5">
        <v>16.6086956521739</v>
      </c>
      <c r="AI82" s="5">
        <v>0.459647303367286</v>
      </c>
      <c r="AJ82" s="5">
        <v>-0.280752999575136</v>
      </c>
      <c r="AK82" s="5">
        <v>0.459647303367286</v>
      </c>
      <c r="AL82" s="5">
        <v>0.280752999575136</v>
      </c>
      <c r="AM82" s="5">
        <v>9.97962409166519</v>
      </c>
      <c r="AN82" s="5">
        <v>-0.433260944725331</v>
      </c>
      <c r="AO82" s="5">
        <v>-1</v>
      </c>
      <c r="AP82" s="5">
        <v>14934.5346948423</v>
      </c>
      <c r="AQ82" s="5">
        <v>2.69882520469918</v>
      </c>
      <c r="AR82" s="5">
        <v>0</v>
      </c>
      <c r="AS82" s="5">
        <v>0</v>
      </c>
      <c r="AT82" s="5">
        <v>0</v>
      </c>
      <c r="AU82" s="5">
        <v>0</v>
      </c>
      <c r="AV82" s="5">
        <v>0</v>
      </c>
      <c r="AW82" s="5">
        <v>0</v>
      </c>
      <c r="AX82" s="5">
        <v>4.55274987369036</v>
      </c>
      <c r="AY82" s="5">
        <v>-7.5938637329932</v>
      </c>
      <c r="AZ82" s="5">
        <v>1</v>
      </c>
      <c r="BA82" s="5">
        <v>1</v>
      </c>
    </row>
    <row r="83" hidden="1" spans="1:53">
      <c r="A83" t="s">
        <v>53</v>
      </c>
      <c r="B83" t="s">
        <v>83</v>
      </c>
      <c r="C83" t="s">
        <v>55</v>
      </c>
      <c r="D83" s="4" t="s">
        <v>66</v>
      </c>
      <c r="E83">
        <v>0.175781</v>
      </c>
      <c r="F83">
        <v>6.7</v>
      </c>
      <c r="G83">
        <v>1</v>
      </c>
      <c r="H83">
        <v>17</v>
      </c>
      <c r="I83">
        <v>44</v>
      </c>
      <c r="J83">
        <v>36</v>
      </c>
      <c r="K83">
        <v>20</v>
      </c>
      <c r="L83" t="s">
        <v>57</v>
      </c>
      <c r="M83" t="s">
        <v>58</v>
      </c>
      <c r="N83" t="s">
        <v>59</v>
      </c>
      <c r="O83">
        <v>0.76383875232</v>
      </c>
      <c r="P83">
        <f>O83/E83</f>
        <v>4.3453999711004</v>
      </c>
      <c r="Q83">
        <f t="shared" si="3"/>
        <v>1.46911780766839</v>
      </c>
      <c r="R83">
        <v>150</v>
      </c>
      <c r="S83" t="s">
        <v>60</v>
      </c>
      <c r="T83" t="s">
        <v>61</v>
      </c>
      <c r="U83" t="s">
        <v>62</v>
      </c>
      <c r="V83">
        <v>1</v>
      </c>
      <c r="W83">
        <v>0</v>
      </c>
      <c r="X83">
        <v>1</v>
      </c>
      <c r="Y83">
        <v>1</v>
      </c>
      <c r="Z83">
        <v>0</v>
      </c>
      <c r="AA83">
        <v>0</v>
      </c>
      <c r="AB83">
        <v>1</v>
      </c>
      <c r="AC83">
        <v>0</v>
      </c>
      <c r="AD83">
        <v>1</v>
      </c>
      <c r="AE83" s="5">
        <v>12.8254166666667</v>
      </c>
      <c r="AF83" s="5">
        <v>4.27882137345679</v>
      </c>
      <c r="AG83" s="5">
        <v>0.653062667189842</v>
      </c>
      <c r="AH83" s="5">
        <v>16.12</v>
      </c>
      <c r="AI83" s="5">
        <v>0.459647294455008</v>
      </c>
      <c r="AJ83" s="5">
        <v>-0.47662745733429</v>
      </c>
      <c r="AK83" s="5">
        <v>0.47662745733429</v>
      </c>
      <c r="AL83" s="5">
        <v>0.459647294455008</v>
      </c>
      <c r="AM83" s="5">
        <v>9.90907137329749</v>
      </c>
      <c r="AN83" s="5">
        <v>-0.449718247791216</v>
      </c>
      <c r="AO83" s="5">
        <v>-1.58</v>
      </c>
      <c r="AP83" s="5">
        <v>39741.8973369129</v>
      </c>
      <c r="AQ83" s="5">
        <v>2.73920148528388</v>
      </c>
      <c r="AR83" s="5">
        <v>0</v>
      </c>
      <c r="AS83" s="5">
        <v>4.79453718407182</v>
      </c>
      <c r="AT83" s="5">
        <v>0</v>
      </c>
      <c r="AU83" s="5">
        <v>0</v>
      </c>
      <c r="AV83" s="5">
        <v>0</v>
      </c>
      <c r="AW83" s="5">
        <v>0</v>
      </c>
      <c r="AX83" s="5">
        <v>5.10652739484071</v>
      </c>
      <c r="AY83" s="5">
        <v>-7.69383775037793</v>
      </c>
      <c r="AZ83" s="5">
        <v>0.875</v>
      </c>
      <c r="BA83" s="5">
        <v>1</v>
      </c>
    </row>
    <row r="84" hidden="1" spans="1:53">
      <c r="A84" t="s">
        <v>53</v>
      </c>
      <c r="B84" t="s">
        <v>83</v>
      </c>
      <c r="C84" t="s">
        <v>55</v>
      </c>
      <c r="D84" s="4" t="s">
        <v>67</v>
      </c>
      <c r="E84">
        <v>0.0234369999999999</v>
      </c>
      <c r="F84">
        <v>6.7</v>
      </c>
      <c r="G84">
        <v>1</v>
      </c>
      <c r="H84">
        <v>17</v>
      </c>
      <c r="I84">
        <v>44</v>
      </c>
      <c r="J84">
        <v>36</v>
      </c>
      <c r="K84">
        <v>20</v>
      </c>
      <c r="L84" t="s">
        <v>57</v>
      </c>
      <c r="M84" t="s">
        <v>58</v>
      </c>
      <c r="N84" t="s">
        <v>59</v>
      </c>
      <c r="O84">
        <v>1.1359652409</v>
      </c>
      <c r="P84">
        <f>O84/E84</f>
        <v>48.4688842812649</v>
      </c>
      <c r="Q84">
        <f t="shared" si="3"/>
        <v>3.88092203084395</v>
      </c>
      <c r="R84">
        <v>150</v>
      </c>
      <c r="S84" t="s">
        <v>60</v>
      </c>
      <c r="T84" t="s">
        <v>61</v>
      </c>
      <c r="U84" t="s">
        <v>62</v>
      </c>
      <c r="V84">
        <v>1</v>
      </c>
      <c r="W84">
        <v>0</v>
      </c>
      <c r="X84">
        <v>1</v>
      </c>
      <c r="Y84">
        <v>1</v>
      </c>
      <c r="Z84">
        <v>0</v>
      </c>
      <c r="AA84">
        <v>0</v>
      </c>
      <c r="AB84">
        <v>1</v>
      </c>
      <c r="AC84">
        <v>0</v>
      </c>
      <c r="AD84">
        <v>1</v>
      </c>
      <c r="AE84" s="5">
        <v>13.0371419123205</v>
      </c>
      <c r="AF84" s="5">
        <v>7.66829457707096</v>
      </c>
      <c r="AG84" s="5">
        <v>0.402493807679921</v>
      </c>
      <c r="AH84" s="5">
        <v>16.8965517241379</v>
      </c>
      <c r="AI84" s="5">
        <v>0.459647294440031</v>
      </c>
      <c r="AJ84" s="5">
        <v>-0.280752999575314</v>
      </c>
      <c r="AK84" s="5">
        <v>0.459647294440031</v>
      </c>
      <c r="AL84" s="5">
        <v>0.280752999575314</v>
      </c>
      <c r="AM84" s="5">
        <v>9.90856544965598</v>
      </c>
      <c r="AN84" s="5">
        <v>-0.457885273814649</v>
      </c>
      <c r="AO84" s="5">
        <v>-1.28</v>
      </c>
      <c r="AP84" s="5">
        <v>176558.643253875</v>
      </c>
      <c r="AQ84" s="5">
        <v>3.26474212239717</v>
      </c>
      <c r="AR84" s="5">
        <v>0</v>
      </c>
      <c r="AS84" s="5">
        <v>0</v>
      </c>
      <c r="AT84" s="5">
        <v>0</v>
      </c>
      <c r="AU84" s="5">
        <v>0</v>
      </c>
      <c r="AV84" s="5">
        <v>0</v>
      </c>
      <c r="AW84" s="5">
        <v>0</v>
      </c>
      <c r="AX84" s="5">
        <v>4.55274987369036</v>
      </c>
      <c r="AY84" s="5">
        <v>-7.88274914441085</v>
      </c>
      <c r="AZ84" s="5">
        <v>1</v>
      </c>
      <c r="BA84" s="5">
        <v>1</v>
      </c>
    </row>
    <row r="85" hidden="1" spans="1:53">
      <c r="A85" t="s">
        <v>53</v>
      </c>
      <c r="B85" t="s">
        <v>84</v>
      </c>
      <c r="C85" t="s">
        <v>55</v>
      </c>
      <c r="D85" s="4" t="s">
        <v>63</v>
      </c>
      <c r="E85">
        <v>0.269532</v>
      </c>
      <c r="F85">
        <v>6.7</v>
      </c>
      <c r="G85">
        <v>1</v>
      </c>
      <c r="H85">
        <v>17</v>
      </c>
      <c r="I85">
        <v>44</v>
      </c>
      <c r="J85">
        <v>36</v>
      </c>
      <c r="K85">
        <v>20</v>
      </c>
      <c r="L85" t="s">
        <v>57</v>
      </c>
      <c r="M85" t="s">
        <v>58</v>
      </c>
      <c r="N85" t="s">
        <v>59</v>
      </c>
      <c r="O85">
        <v>0.09794490483</v>
      </c>
      <c r="P85">
        <f t="shared" ref="P85:P122" si="4">O85/E85</f>
        <v>0.363388780664263</v>
      </c>
      <c r="Q85">
        <f t="shared" si="3"/>
        <v>-1.01228199673754</v>
      </c>
      <c r="R85">
        <v>150</v>
      </c>
      <c r="S85" t="s">
        <v>60</v>
      </c>
      <c r="T85" t="s">
        <v>61</v>
      </c>
      <c r="U85" t="s">
        <v>62</v>
      </c>
      <c r="V85">
        <v>1</v>
      </c>
      <c r="W85">
        <v>0</v>
      </c>
      <c r="X85">
        <v>1</v>
      </c>
      <c r="Y85">
        <v>1</v>
      </c>
      <c r="Z85">
        <v>0</v>
      </c>
      <c r="AA85">
        <v>0</v>
      </c>
      <c r="AB85">
        <v>1</v>
      </c>
      <c r="AC85">
        <v>0</v>
      </c>
      <c r="AD85">
        <v>1</v>
      </c>
      <c r="AE85" s="5">
        <v>12.2120833333333</v>
      </c>
      <c r="AF85" s="5">
        <v>7.00097222222222</v>
      </c>
      <c r="AG85" s="5">
        <v>0.642528075697275</v>
      </c>
      <c r="AH85" s="5">
        <v>16.1176470588235</v>
      </c>
      <c r="AI85" s="5">
        <v>0.459694901747447</v>
      </c>
      <c r="AJ85" s="5">
        <v>-0.280752981483328</v>
      </c>
      <c r="AK85" s="5">
        <v>0.459694901747447</v>
      </c>
      <c r="AL85" s="5">
        <v>0.280752981483328</v>
      </c>
      <c r="AM85" s="5">
        <v>10.1452721658031</v>
      </c>
      <c r="AN85" s="5">
        <v>-0.382289160206052</v>
      </c>
      <c r="AO85" s="5">
        <v>-0.72</v>
      </c>
      <c r="AP85" s="5">
        <v>1212.20967645111</v>
      </c>
      <c r="AQ85" s="5">
        <v>2.16502218725737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4.55274987369036</v>
      </c>
      <c r="AY85" s="5">
        <v>-7.13430555555556</v>
      </c>
      <c r="AZ85" s="5">
        <v>1</v>
      </c>
      <c r="BA85" s="5">
        <v>1</v>
      </c>
    </row>
    <row r="86" hidden="1" spans="1:53">
      <c r="A86" t="s">
        <v>53</v>
      </c>
      <c r="B86" t="s">
        <v>84</v>
      </c>
      <c r="C86" t="s">
        <v>55</v>
      </c>
      <c r="D86" s="4" t="s">
        <v>65</v>
      </c>
      <c r="E86">
        <v>0.082031</v>
      </c>
      <c r="F86">
        <v>6.7</v>
      </c>
      <c r="G86">
        <v>1</v>
      </c>
      <c r="H86">
        <v>17</v>
      </c>
      <c r="I86">
        <v>44</v>
      </c>
      <c r="J86">
        <v>36</v>
      </c>
      <c r="K86">
        <v>20</v>
      </c>
      <c r="L86" t="s">
        <v>57</v>
      </c>
      <c r="M86" t="s">
        <v>58</v>
      </c>
      <c r="N86" t="s">
        <v>59</v>
      </c>
      <c r="O86">
        <v>0.0753428336</v>
      </c>
      <c r="P86">
        <f t="shared" si="4"/>
        <v>0.918467818263827</v>
      </c>
      <c r="Q86">
        <f t="shared" si="3"/>
        <v>-0.0850484122147806</v>
      </c>
      <c r="R86">
        <v>150</v>
      </c>
      <c r="S86" t="s">
        <v>60</v>
      </c>
      <c r="T86" t="s">
        <v>61</v>
      </c>
      <c r="U86" t="s">
        <v>62</v>
      </c>
      <c r="V86">
        <v>1</v>
      </c>
      <c r="W86">
        <v>0</v>
      </c>
      <c r="X86">
        <v>1</v>
      </c>
      <c r="Y86">
        <v>1</v>
      </c>
      <c r="Z86">
        <v>0</v>
      </c>
      <c r="AA86">
        <v>0</v>
      </c>
      <c r="AB86">
        <v>1</v>
      </c>
      <c r="AC86">
        <v>0</v>
      </c>
      <c r="AD86">
        <v>1</v>
      </c>
      <c r="AE86" s="5">
        <v>12.6956944444444</v>
      </c>
      <c r="AF86" s="5">
        <v>7.51923752834467</v>
      </c>
      <c r="AG86" s="5">
        <v>0.567423483996869</v>
      </c>
      <c r="AH86" s="5">
        <v>16.6086956521739</v>
      </c>
      <c r="AI86" s="5">
        <v>0.459647303367286</v>
      </c>
      <c r="AJ86" s="5">
        <v>-0.280752999575136</v>
      </c>
      <c r="AK86" s="5">
        <v>0.459647303367286</v>
      </c>
      <c r="AL86" s="5">
        <v>0.280752999575136</v>
      </c>
      <c r="AM86" s="5">
        <v>9.97962409166519</v>
      </c>
      <c r="AN86" s="5">
        <v>-0.433260944725331</v>
      </c>
      <c r="AO86" s="5">
        <v>-1</v>
      </c>
      <c r="AP86" s="5">
        <v>14934.5346948423</v>
      </c>
      <c r="AQ86" s="5">
        <v>2.69882520469918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4.55274987369036</v>
      </c>
      <c r="AY86" s="5">
        <v>-7.5938637329932</v>
      </c>
      <c r="AZ86" s="5">
        <v>1</v>
      </c>
      <c r="BA86" s="5">
        <v>1</v>
      </c>
    </row>
    <row r="87" hidden="1" spans="1:53">
      <c r="A87" t="s">
        <v>53</v>
      </c>
      <c r="B87" t="s">
        <v>84</v>
      </c>
      <c r="C87" t="s">
        <v>55</v>
      </c>
      <c r="D87" s="4" t="s">
        <v>66</v>
      </c>
      <c r="E87">
        <v>0.386719</v>
      </c>
      <c r="F87">
        <v>6.7</v>
      </c>
      <c r="G87">
        <v>1</v>
      </c>
      <c r="H87">
        <v>17</v>
      </c>
      <c r="I87">
        <v>44</v>
      </c>
      <c r="J87">
        <v>36</v>
      </c>
      <c r="K87">
        <v>20</v>
      </c>
      <c r="L87" t="s">
        <v>57</v>
      </c>
      <c r="M87" t="s">
        <v>58</v>
      </c>
      <c r="N87" t="s">
        <v>59</v>
      </c>
      <c r="O87">
        <v>0.1977733805</v>
      </c>
      <c r="P87">
        <f t="shared" si="4"/>
        <v>0.511413663409349</v>
      </c>
      <c r="Q87">
        <f t="shared" si="3"/>
        <v>-0.670576498825823</v>
      </c>
      <c r="R87">
        <v>150</v>
      </c>
      <c r="S87" t="s">
        <v>60</v>
      </c>
      <c r="T87" t="s">
        <v>61</v>
      </c>
      <c r="U87" t="s">
        <v>62</v>
      </c>
      <c r="V87">
        <v>1</v>
      </c>
      <c r="W87">
        <v>0</v>
      </c>
      <c r="X87">
        <v>1</v>
      </c>
      <c r="Y87">
        <v>1</v>
      </c>
      <c r="Z87">
        <v>0</v>
      </c>
      <c r="AA87">
        <v>0</v>
      </c>
      <c r="AB87">
        <v>1</v>
      </c>
      <c r="AC87">
        <v>0</v>
      </c>
      <c r="AD87">
        <v>1</v>
      </c>
      <c r="AE87" s="5">
        <v>12.8254166666667</v>
      </c>
      <c r="AF87" s="5">
        <v>4.27882137345679</v>
      </c>
      <c r="AG87" s="5">
        <v>0.653062667189842</v>
      </c>
      <c r="AH87" s="5">
        <v>16.12</v>
      </c>
      <c r="AI87" s="5">
        <v>0.459647294455008</v>
      </c>
      <c r="AJ87" s="5">
        <v>-0.47662745733429</v>
      </c>
      <c r="AK87" s="5">
        <v>0.47662745733429</v>
      </c>
      <c r="AL87" s="5">
        <v>0.459647294455008</v>
      </c>
      <c r="AM87" s="5">
        <v>9.90907137329749</v>
      </c>
      <c r="AN87" s="5">
        <v>-0.449718247791216</v>
      </c>
      <c r="AO87" s="5">
        <v>-1.58</v>
      </c>
      <c r="AP87" s="5">
        <v>39741.8973369129</v>
      </c>
      <c r="AQ87" s="5">
        <v>2.73920148528388</v>
      </c>
      <c r="AR87" s="5">
        <v>0</v>
      </c>
      <c r="AS87" s="5">
        <v>4.79453718407182</v>
      </c>
      <c r="AT87" s="5">
        <v>0</v>
      </c>
      <c r="AU87" s="5">
        <v>0</v>
      </c>
      <c r="AV87" s="5">
        <v>0</v>
      </c>
      <c r="AW87" s="5">
        <v>0</v>
      </c>
      <c r="AX87" s="5">
        <v>5.10652739484071</v>
      </c>
      <c r="AY87" s="5">
        <v>-7.69383775037793</v>
      </c>
      <c r="AZ87" s="5">
        <v>0.875</v>
      </c>
      <c r="BA87" s="5">
        <v>1</v>
      </c>
    </row>
    <row r="88" hidden="1" spans="1:53">
      <c r="A88" t="s">
        <v>53</v>
      </c>
      <c r="B88" t="s">
        <v>84</v>
      </c>
      <c r="C88" t="s">
        <v>55</v>
      </c>
      <c r="D88" s="4" t="s">
        <v>67</v>
      </c>
      <c r="E88">
        <v>0.0234399999999999</v>
      </c>
      <c r="F88">
        <v>6.7</v>
      </c>
      <c r="G88">
        <v>1</v>
      </c>
      <c r="H88">
        <v>17</v>
      </c>
      <c r="I88">
        <v>44</v>
      </c>
      <c r="J88">
        <v>36</v>
      </c>
      <c r="K88">
        <v>20</v>
      </c>
      <c r="L88" t="s">
        <v>57</v>
      </c>
      <c r="M88" t="s">
        <v>58</v>
      </c>
      <c r="N88" t="s">
        <v>59</v>
      </c>
      <c r="O88">
        <v>0.5029081181</v>
      </c>
      <c r="P88">
        <f t="shared" si="4"/>
        <v>21.4551244923209</v>
      </c>
      <c r="Q88">
        <f t="shared" si="3"/>
        <v>3.0659635209119</v>
      </c>
      <c r="R88">
        <v>150</v>
      </c>
      <c r="S88" t="s">
        <v>60</v>
      </c>
      <c r="T88" t="s">
        <v>61</v>
      </c>
      <c r="U88" t="s">
        <v>62</v>
      </c>
      <c r="V88">
        <v>1</v>
      </c>
      <c r="W88">
        <v>0</v>
      </c>
      <c r="X88">
        <v>1</v>
      </c>
      <c r="Y88">
        <v>1</v>
      </c>
      <c r="Z88">
        <v>0</v>
      </c>
      <c r="AA88">
        <v>0</v>
      </c>
      <c r="AB88">
        <v>1</v>
      </c>
      <c r="AC88">
        <v>0</v>
      </c>
      <c r="AD88">
        <v>1</v>
      </c>
      <c r="AE88" s="5">
        <v>13.0371419123205</v>
      </c>
      <c r="AF88" s="5">
        <v>7.66829457707096</v>
      </c>
      <c r="AG88" s="5">
        <v>0.402493807679921</v>
      </c>
      <c r="AH88" s="5">
        <v>16.8965517241379</v>
      </c>
      <c r="AI88" s="5">
        <v>0.459647294440031</v>
      </c>
      <c r="AJ88" s="5">
        <v>-0.280752999575314</v>
      </c>
      <c r="AK88" s="5">
        <v>0.459647294440031</v>
      </c>
      <c r="AL88" s="5">
        <v>0.280752999575314</v>
      </c>
      <c r="AM88" s="5">
        <v>9.90856544965598</v>
      </c>
      <c r="AN88" s="5">
        <v>-0.457885273814649</v>
      </c>
      <c r="AO88" s="5">
        <v>-1.28</v>
      </c>
      <c r="AP88" s="5">
        <v>176558.643253875</v>
      </c>
      <c r="AQ88" s="5">
        <v>3.26474212239717</v>
      </c>
      <c r="AR88" s="5">
        <v>0</v>
      </c>
      <c r="AS88" s="5">
        <v>0</v>
      </c>
      <c r="AT88" s="5">
        <v>0</v>
      </c>
      <c r="AU88" s="5">
        <v>0</v>
      </c>
      <c r="AV88" s="5">
        <v>0</v>
      </c>
      <c r="AW88" s="5">
        <v>0</v>
      </c>
      <c r="AX88" s="5">
        <v>4.55274987369036</v>
      </c>
      <c r="AY88" s="5">
        <v>-7.88274914441085</v>
      </c>
      <c r="AZ88" s="5">
        <v>1</v>
      </c>
      <c r="BA88" s="5">
        <v>1</v>
      </c>
    </row>
    <row r="89" hidden="1" spans="1:53">
      <c r="A89" t="s">
        <v>53</v>
      </c>
      <c r="B89" t="s">
        <v>84</v>
      </c>
      <c r="C89" t="s">
        <v>55</v>
      </c>
      <c r="D89" s="4" t="s">
        <v>68</v>
      </c>
      <c r="E89">
        <v>0.03515</v>
      </c>
      <c r="F89">
        <v>6.7</v>
      </c>
      <c r="G89">
        <v>1</v>
      </c>
      <c r="H89">
        <v>17</v>
      </c>
      <c r="I89">
        <v>44</v>
      </c>
      <c r="J89">
        <v>36</v>
      </c>
      <c r="K89">
        <v>20</v>
      </c>
      <c r="L89" t="s">
        <v>57</v>
      </c>
      <c r="M89" t="s">
        <v>58</v>
      </c>
      <c r="N89" t="s">
        <v>59</v>
      </c>
      <c r="O89">
        <v>0.6215737041</v>
      </c>
      <c r="P89">
        <f t="shared" si="4"/>
        <v>17.6834624210526</v>
      </c>
      <c r="Q89">
        <f t="shared" si="3"/>
        <v>2.87262987633051</v>
      </c>
      <c r="R89">
        <v>150</v>
      </c>
      <c r="S89" t="s">
        <v>60</v>
      </c>
      <c r="T89" t="s">
        <v>61</v>
      </c>
      <c r="U89" t="s">
        <v>62</v>
      </c>
      <c r="V89">
        <v>1</v>
      </c>
      <c r="W89">
        <v>0</v>
      </c>
      <c r="X89">
        <v>1</v>
      </c>
      <c r="Y89">
        <v>1</v>
      </c>
      <c r="Z89">
        <v>0</v>
      </c>
      <c r="AA89">
        <v>0</v>
      </c>
      <c r="AB89">
        <v>1</v>
      </c>
      <c r="AC89">
        <v>0</v>
      </c>
      <c r="AD89">
        <v>1</v>
      </c>
      <c r="AE89" s="5">
        <v>12.1252083333333</v>
      </c>
      <c r="AF89" s="5">
        <v>3.79034722222222</v>
      </c>
      <c r="AG89" s="5">
        <v>0.795108310685598</v>
      </c>
      <c r="AH89" s="5">
        <v>15.0625</v>
      </c>
      <c r="AI89" s="5">
        <v>0.459665733935349</v>
      </c>
      <c r="AJ89" s="5">
        <v>-0.476627440416371</v>
      </c>
      <c r="AK89" s="5">
        <v>0.476627440416371</v>
      </c>
      <c r="AL89" s="5">
        <v>0.459665733935349</v>
      </c>
      <c r="AM89" s="5">
        <v>10.044436145131</v>
      </c>
      <c r="AN89" s="5">
        <v>-0.389909625311938</v>
      </c>
      <c r="AO89" s="5">
        <v>-1.16</v>
      </c>
      <c r="AP89" s="5">
        <v>939.726830541714</v>
      </c>
      <c r="AQ89" s="5">
        <v>1.77550667912426</v>
      </c>
      <c r="AR89" s="5">
        <v>0</v>
      </c>
      <c r="AS89" s="5">
        <v>4.79453718407182</v>
      </c>
      <c r="AT89" s="5">
        <v>0</v>
      </c>
      <c r="AU89" s="5">
        <v>0</v>
      </c>
      <c r="AV89" s="5">
        <v>0</v>
      </c>
      <c r="AW89" s="5">
        <v>0</v>
      </c>
      <c r="AX89" s="5">
        <v>5.10652739484071</v>
      </c>
      <c r="AY89" s="5">
        <v>-7.00458333333333</v>
      </c>
      <c r="AZ89" s="5">
        <v>0.8</v>
      </c>
      <c r="BA89" s="5">
        <v>1</v>
      </c>
    </row>
    <row r="90" spans="1:53">
      <c r="A90" t="s">
        <v>53</v>
      </c>
      <c r="B90" t="s">
        <v>54</v>
      </c>
      <c r="C90" t="s">
        <v>55</v>
      </c>
      <c r="D90" s="4" t="s">
        <v>56</v>
      </c>
      <c r="E90">
        <v>0.585938</v>
      </c>
      <c r="F90">
        <v>6.7</v>
      </c>
      <c r="G90">
        <v>1</v>
      </c>
      <c r="H90">
        <v>17</v>
      </c>
      <c r="I90">
        <v>44</v>
      </c>
      <c r="J90">
        <v>36</v>
      </c>
      <c r="K90">
        <v>20</v>
      </c>
      <c r="L90" t="s">
        <v>57</v>
      </c>
      <c r="M90" t="s">
        <v>58</v>
      </c>
      <c r="N90" t="s">
        <v>85</v>
      </c>
      <c r="O90">
        <v>0.43167826663</v>
      </c>
      <c r="P90">
        <f t="shared" si="4"/>
        <v>0.736730279705361</v>
      </c>
      <c r="Q90">
        <f t="shared" si="3"/>
        <v>-0.3055334243254</v>
      </c>
      <c r="R90">
        <v>150</v>
      </c>
      <c r="S90" t="s">
        <v>60</v>
      </c>
      <c r="T90" t="s">
        <v>61</v>
      </c>
      <c r="U90" t="s">
        <v>62</v>
      </c>
      <c r="V90">
        <v>1</v>
      </c>
      <c r="W90">
        <v>0</v>
      </c>
      <c r="X90">
        <v>1</v>
      </c>
      <c r="Y90">
        <v>1</v>
      </c>
      <c r="Z90">
        <v>0</v>
      </c>
      <c r="AA90">
        <v>0</v>
      </c>
      <c r="AB90">
        <v>1</v>
      </c>
      <c r="AC90">
        <v>0</v>
      </c>
      <c r="AD90">
        <v>1</v>
      </c>
      <c r="AE90" s="5">
        <v>11.7505787037037</v>
      </c>
      <c r="AF90" s="5">
        <v>3.53256944444444</v>
      </c>
      <c r="AG90" s="5">
        <v>0.712441776552488</v>
      </c>
      <c r="AH90" s="5">
        <v>14.3846153846154</v>
      </c>
      <c r="AI90" s="5">
        <v>0.460094687009651</v>
      </c>
      <c r="AJ90" s="5">
        <v>-0.476625664235965</v>
      </c>
      <c r="AK90" s="5">
        <v>0.476625664235965</v>
      </c>
      <c r="AL90" s="5">
        <v>0.460094687009651</v>
      </c>
      <c r="AM90" s="5">
        <v>10.1473915373546</v>
      </c>
      <c r="AN90" s="5">
        <v>-0.347050241178715</v>
      </c>
      <c r="AO90" s="5">
        <v>-1.02</v>
      </c>
      <c r="AP90" s="5">
        <v>260.658615872357</v>
      </c>
      <c r="AQ90" s="5">
        <v>1.67669845728037</v>
      </c>
      <c r="AR90" s="5">
        <v>0</v>
      </c>
      <c r="AS90" s="5">
        <v>4.79453718407182</v>
      </c>
      <c r="AT90" s="5">
        <v>0</v>
      </c>
      <c r="AU90" s="5">
        <v>0</v>
      </c>
      <c r="AV90" s="5">
        <v>0</v>
      </c>
      <c r="AW90" s="5">
        <v>0</v>
      </c>
      <c r="AX90" s="5">
        <v>5.10652739484071</v>
      </c>
      <c r="AY90" s="5">
        <v>-6.60229166666667</v>
      </c>
      <c r="AZ90" s="5">
        <v>0.75</v>
      </c>
      <c r="BA90" s="5">
        <v>1</v>
      </c>
    </row>
    <row r="91" spans="1:53">
      <c r="A91" t="s">
        <v>53</v>
      </c>
      <c r="B91" t="s">
        <v>54</v>
      </c>
      <c r="C91" t="s">
        <v>55</v>
      </c>
      <c r="D91" s="4" t="s">
        <v>63</v>
      </c>
      <c r="E91">
        <v>0.29297</v>
      </c>
      <c r="F91">
        <v>6.7</v>
      </c>
      <c r="G91">
        <v>1</v>
      </c>
      <c r="H91">
        <v>17</v>
      </c>
      <c r="I91">
        <v>44</v>
      </c>
      <c r="J91">
        <v>36</v>
      </c>
      <c r="K91">
        <v>20</v>
      </c>
      <c r="L91" t="s">
        <v>57</v>
      </c>
      <c r="M91" t="s">
        <v>58</v>
      </c>
      <c r="N91" t="s">
        <v>85</v>
      </c>
      <c r="O91">
        <v>0.2116093954</v>
      </c>
      <c r="P91">
        <f t="shared" si="4"/>
        <v>0.722290321193296</v>
      </c>
      <c r="Q91">
        <f t="shared" si="3"/>
        <v>-0.325328113996708</v>
      </c>
      <c r="R91">
        <v>150</v>
      </c>
      <c r="S91" t="s">
        <v>60</v>
      </c>
      <c r="T91" t="s">
        <v>61</v>
      </c>
      <c r="U91" t="s">
        <v>62</v>
      </c>
      <c r="V91">
        <v>1</v>
      </c>
      <c r="W91">
        <v>0</v>
      </c>
      <c r="X91">
        <v>1</v>
      </c>
      <c r="Y91">
        <v>1</v>
      </c>
      <c r="Z91">
        <v>0</v>
      </c>
      <c r="AA91">
        <v>0</v>
      </c>
      <c r="AB91">
        <v>1</v>
      </c>
      <c r="AC91">
        <v>0</v>
      </c>
      <c r="AD91">
        <v>1</v>
      </c>
      <c r="AE91" s="5">
        <v>12.2120833333333</v>
      </c>
      <c r="AF91" s="5">
        <v>7.00097222222222</v>
      </c>
      <c r="AG91" s="5">
        <v>0.642528075697275</v>
      </c>
      <c r="AH91" s="5">
        <v>16.1176470588235</v>
      </c>
      <c r="AI91" s="5">
        <v>0.459694901747447</v>
      </c>
      <c r="AJ91" s="5">
        <v>-0.280752981483328</v>
      </c>
      <c r="AK91" s="5">
        <v>0.459694901747447</v>
      </c>
      <c r="AL91" s="5">
        <v>0.280752981483328</v>
      </c>
      <c r="AM91" s="5">
        <v>10.1452721658031</v>
      </c>
      <c r="AN91" s="5">
        <v>-0.382289160206052</v>
      </c>
      <c r="AO91" s="5">
        <v>-0.72</v>
      </c>
      <c r="AP91" s="5">
        <v>1212.20967645111</v>
      </c>
      <c r="AQ91" s="5">
        <v>2.16502218725737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4.55274987369036</v>
      </c>
      <c r="AY91" s="5">
        <v>-7.13430555555556</v>
      </c>
      <c r="AZ91" s="5">
        <v>1</v>
      </c>
      <c r="BA91" s="5">
        <v>1</v>
      </c>
    </row>
    <row r="92" spans="1:53">
      <c r="A92" t="s">
        <v>53</v>
      </c>
      <c r="B92" t="s">
        <v>54</v>
      </c>
      <c r="C92" t="s">
        <v>55</v>
      </c>
      <c r="D92" s="4" t="s">
        <v>64</v>
      </c>
      <c r="E92">
        <v>0.234380000000001</v>
      </c>
      <c r="F92">
        <v>6.7</v>
      </c>
      <c r="G92">
        <v>1</v>
      </c>
      <c r="H92">
        <v>17</v>
      </c>
      <c r="I92">
        <v>44</v>
      </c>
      <c r="J92">
        <v>36</v>
      </c>
      <c r="K92">
        <v>20</v>
      </c>
      <c r="L92" t="s">
        <v>57</v>
      </c>
      <c r="M92" t="s">
        <v>58</v>
      </c>
      <c r="N92" t="s">
        <v>85</v>
      </c>
      <c r="O92">
        <v>0.16082104051</v>
      </c>
      <c r="P92">
        <f t="shared" si="4"/>
        <v>0.686155134866453</v>
      </c>
      <c r="Q92">
        <f t="shared" si="3"/>
        <v>-0.376651532702785</v>
      </c>
      <c r="R92">
        <v>150</v>
      </c>
      <c r="S92" t="s">
        <v>60</v>
      </c>
      <c r="T92" t="s">
        <v>61</v>
      </c>
      <c r="U92" t="s">
        <v>62</v>
      </c>
      <c r="V92">
        <v>1</v>
      </c>
      <c r="W92">
        <v>0</v>
      </c>
      <c r="X92">
        <v>1</v>
      </c>
      <c r="Y92">
        <v>1</v>
      </c>
      <c r="Z92">
        <v>0</v>
      </c>
      <c r="AA92">
        <v>0</v>
      </c>
      <c r="AB92">
        <v>1</v>
      </c>
      <c r="AC92">
        <v>0</v>
      </c>
      <c r="AD92">
        <v>1</v>
      </c>
      <c r="AE92" s="5">
        <v>12.3952083333333</v>
      </c>
      <c r="AF92" s="5">
        <v>3.99060232426304</v>
      </c>
      <c r="AG92" s="5">
        <v>0.809418673219238</v>
      </c>
      <c r="AH92" s="5">
        <v>15.5263157894737</v>
      </c>
      <c r="AI92" s="5">
        <v>0.459647654411774</v>
      </c>
      <c r="AJ92" s="5">
        <v>-0.476627457257861</v>
      </c>
      <c r="AK92" s="5">
        <v>0.476627457257861</v>
      </c>
      <c r="AL92" s="5">
        <v>0.459647654411774</v>
      </c>
      <c r="AM92" s="5">
        <v>9.98060231888395</v>
      </c>
      <c r="AN92" s="5">
        <v>-0.417658943556199</v>
      </c>
      <c r="AO92" s="5">
        <v>-1.3</v>
      </c>
      <c r="AP92" s="5">
        <v>3314.44680161703</v>
      </c>
      <c r="AQ92" s="5">
        <v>2.17852386673025</v>
      </c>
      <c r="AR92" s="5">
        <v>0</v>
      </c>
      <c r="AS92" s="5">
        <v>4.79453718407182</v>
      </c>
      <c r="AT92" s="5">
        <v>0</v>
      </c>
      <c r="AU92" s="5">
        <v>0</v>
      </c>
      <c r="AV92" s="5">
        <v>0</v>
      </c>
      <c r="AW92" s="5">
        <v>0</v>
      </c>
      <c r="AX92" s="5">
        <v>5.10652739484071</v>
      </c>
      <c r="AY92" s="5">
        <v>-7.29710978835979</v>
      </c>
      <c r="AZ92" s="5">
        <v>0.833333333333333</v>
      </c>
      <c r="BA92" s="5">
        <v>1</v>
      </c>
    </row>
    <row r="93" spans="1:53">
      <c r="A93" t="s">
        <v>53</v>
      </c>
      <c r="B93" t="s">
        <v>54</v>
      </c>
      <c r="C93" t="s">
        <v>55</v>
      </c>
      <c r="D93" s="4" t="s">
        <v>65</v>
      </c>
      <c r="E93">
        <v>0.97265</v>
      </c>
      <c r="F93">
        <v>6.7</v>
      </c>
      <c r="G93">
        <v>1</v>
      </c>
      <c r="H93">
        <v>17</v>
      </c>
      <c r="I93">
        <v>44</v>
      </c>
      <c r="J93">
        <v>36</v>
      </c>
      <c r="K93">
        <v>20</v>
      </c>
      <c r="L93" t="s">
        <v>57</v>
      </c>
      <c r="M93" t="s">
        <v>58</v>
      </c>
      <c r="N93" t="s">
        <v>85</v>
      </c>
      <c r="O93">
        <v>0.14812657678</v>
      </c>
      <c r="P93">
        <f t="shared" si="4"/>
        <v>0.152291756315221</v>
      </c>
      <c r="Q93">
        <f t="shared" si="3"/>
        <v>-1.88195714848282</v>
      </c>
      <c r="R93">
        <v>150</v>
      </c>
      <c r="S93" t="s">
        <v>60</v>
      </c>
      <c r="T93" t="s">
        <v>61</v>
      </c>
      <c r="U93" t="s">
        <v>62</v>
      </c>
      <c r="V93">
        <v>1</v>
      </c>
      <c r="W93">
        <v>0</v>
      </c>
      <c r="X93">
        <v>1</v>
      </c>
      <c r="Y93">
        <v>1</v>
      </c>
      <c r="Z93">
        <v>0</v>
      </c>
      <c r="AA93">
        <v>0</v>
      </c>
      <c r="AB93">
        <v>1</v>
      </c>
      <c r="AC93">
        <v>0</v>
      </c>
      <c r="AD93">
        <v>1</v>
      </c>
      <c r="AE93" s="5">
        <v>12.6956944444444</v>
      </c>
      <c r="AF93" s="5">
        <v>7.51923752834467</v>
      </c>
      <c r="AG93" s="5">
        <v>0.567423483996869</v>
      </c>
      <c r="AH93" s="5">
        <v>16.6086956521739</v>
      </c>
      <c r="AI93" s="5">
        <v>0.459647303367286</v>
      </c>
      <c r="AJ93" s="5">
        <v>-0.280752999575136</v>
      </c>
      <c r="AK93" s="5">
        <v>0.459647303367286</v>
      </c>
      <c r="AL93" s="5">
        <v>0.280752999575136</v>
      </c>
      <c r="AM93" s="5">
        <v>9.97962409166519</v>
      </c>
      <c r="AN93" s="5">
        <v>-0.433260944725331</v>
      </c>
      <c r="AO93" s="5">
        <v>-1</v>
      </c>
      <c r="AP93" s="5">
        <v>14934.5346948423</v>
      </c>
      <c r="AQ93" s="5">
        <v>2.69882520469918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4.55274987369036</v>
      </c>
      <c r="AY93" s="5">
        <v>-7.5938637329932</v>
      </c>
      <c r="AZ93" s="5">
        <v>1</v>
      </c>
      <c r="BA93" s="5">
        <v>1</v>
      </c>
    </row>
    <row r="94" spans="1:53">
      <c r="A94" t="s">
        <v>53</v>
      </c>
      <c r="B94" t="s">
        <v>54</v>
      </c>
      <c r="C94" t="s">
        <v>55</v>
      </c>
      <c r="D94" s="4" t="s">
        <v>66</v>
      </c>
      <c r="E94">
        <v>1.23047</v>
      </c>
      <c r="F94">
        <v>6.7</v>
      </c>
      <c r="G94">
        <v>1</v>
      </c>
      <c r="H94">
        <v>17</v>
      </c>
      <c r="I94">
        <v>44</v>
      </c>
      <c r="J94">
        <v>36</v>
      </c>
      <c r="K94">
        <v>20</v>
      </c>
      <c r="L94" t="s">
        <v>57</v>
      </c>
      <c r="M94" t="s">
        <v>58</v>
      </c>
      <c r="N94" t="s">
        <v>85</v>
      </c>
      <c r="O94">
        <v>0.62212672249</v>
      </c>
      <c r="P94">
        <f t="shared" si="4"/>
        <v>0.505600886238592</v>
      </c>
      <c r="Q94">
        <f t="shared" si="3"/>
        <v>-0.68200768330571</v>
      </c>
      <c r="R94">
        <v>150</v>
      </c>
      <c r="S94" t="s">
        <v>60</v>
      </c>
      <c r="T94" t="s">
        <v>61</v>
      </c>
      <c r="U94" t="s">
        <v>62</v>
      </c>
      <c r="V94">
        <v>1</v>
      </c>
      <c r="W94">
        <v>0</v>
      </c>
      <c r="X94">
        <v>1</v>
      </c>
      <c r="Y94">
        <v>1</v>
      </c>
      <c r="Z94">
        <v>0</v>
      </c>
      <c r="AA94">
        <v>0</v>
      </c>
      <c r="AB94">
        <v>1</v>
      </c>
      <c r="AC94">
        <v>0</v>
      </c>
      <c r="AD94">
        <v>1</v>
      </c>
      <c r="AE94" s="5">
        <v>12.8254166666667</v>
      </c>
      <c r="AF94" s="5">
        <v>4.27882137345679</v>
      </c>
      <c r="AG94" s="5">
        <v>0.653062667189842</v>
      </c>
      <c r="AH94" s="5">
        <v>16.12</v>
      </c>
      <c r="AI94" s="5">
        <v>0.459647294455008</v>
      </c>
      <c r="AJ94" s="5">
        <v>-0.47662745733429</v>
      </c>
      <c r="AK94" s="5">
        <v>0.47662745733429</v>
      </c>
      <c r="AL94" s="5">
        <v>0.459647294455008</v>
      </c>
      <c r="AM94" s="5">
        <v>9.90907137329749</v>
      </c>
      <c r="AN94" s="5">
        <v>-0.449718247791216</v>
      </c>
      <c r="AO94" s="5">
        <v>-1.58</v>
      </c>
      <c r="AP94" s="5">
        <v>39741.8973369129</v>
      </c>
      <c r="AQ94" s="5">
        <v>2.73920148528388</v>
      </c>
      <c r="AR94" s="5">
        <v>0</v>
      </c>
      <c r="AS94" s="5">
        <v>4.79453718407182</v>
      </c>
      <c r="AT94" s="5">
        <v>0</v>
      </c>
      <c r="AU94" s="5">
        <v>0</v>
      </c>
      <c r="AV94" s="5">
        <v>0</v>
      </c>
      <c r="AW94" s="5">
        <v>0</v>
      </c>
      <c r="AX94" s="5">
        <v>5.10652739484071</v>
      </c>
      <c r="AY94" s="5">
        <v>-7.69383775037793</v>
      </c>
      <c r="AZ94" s="5">
        <v>0.875</v>
      </c>
      <c r="BA94" s="5">
        <v>1</v>
      </c>
    </row>
    <row r="95" spans="1:53">
      <c r="A95" t="s">
        <v>53</v>
      </c>
      <c r="B95" t="s">
        <v>54</v>
      </c>
      <c r="C95" t="s">
        <v>55</v>
      </c>
      <c r="D95" s="4" t="s">
        <v>67</v>
      </c>
      <c r="E95">
        <v>0.585939999999999</v>
      </c>
      <c r="F95">
        <v>6.7</v>
      </c>
      <c r="G95">
        <v>1</v>
      </c>
      <c r="H95">
        <v>17</v>
      </c>
      <c r="I95">
        <v>44</v>
      </c>
      <c r="J95">
        <v>36</v>
      </c>
      <c r="K95">
        <v>20</v>
      </c>
      <c r="L95" t="s">
        <v>57</v>
      </c>
      <c r="M95" t="s">
        <v>58</v>
      </c>
      <c r="N95" t="s">
        <v>85</v>
      </c>
      <c r="O95">
        <v>1.15537469892</v>
      </c>
      <c r="P95">
        <f t="shared" si="4"/>
        <v>1.97183107301089</v>
      </c>
      <c r="Q95">
        <f t="shared" si="3"/>
        <v>0.678962589737797</v>
      </c>
      <c r="R95">
        <v>150</v>
      </c>
      <c r="S95" t="s">
        <v>60</v>
      </c>
      <c r="T95" t="s">
        <v>61</v>
      </c>
      <c r="U95" t="s">
        <v>62</v>
      </c>
      <c r="V95">
        <v>1</v>
      </c>
      <c r="W95">
        <v>0</v>
      </c>
      <c r="X95">
        <v>1</v>
      </c>
      <c r="Y95">
        <v>1</v>
      </c>
      <c r="Z95">
        <v>0</v>
      </c>
      <c r="AA95">
        <v>0</v>
      </c>
      <c r="AB95">
        <v>1</v>
      </c>
      <c r="AC95">
        <v>0</v>
      </c>
      <c r="AD95">
        <v>1</v>
      </c>
      <c r="AE95" s="5">
        <v>13.0371419123205</v>
      </c>
      <c r="AF95" s="5">
        <v>7.66829457707096</v>
      </c>
      <c r="AG95" s="5">
        <v>0.402493807679921</v>
      </c>
      <c r="AH95" s="5">
        <v>16.8965517241379</v>
      </c>
      <c r="AI95" s="5">
        <v>0.459647294440031</v>
      </c>
      <c r="AJ95" s="5">
        <v>-0.280752999575314</v>
      </c>
      <c r="AK95" s="5">
        <v>0.459647294440031</v>
      </c>
      <c r="AL95" s="5">
        <v>0.280752999575314</v>
      </c>
      <c r="AM95" s="5">
        <v>9.90856544965598</v>
      </c>
      <c r="AN95" s="5">
        <v>-0.457885273814649</v>
      </c>
      <c r="AO95" s="5">
        <v>-1.28</v>
      </c>
      <c r="AP95" s="5">
        <v>176558.643253875</v>
      </c>
      <c r="AQ95" s="5">
        <v>3.26474212239717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4.55274987369036</v>
      </c>
      <c r="AY95" s="5">
        <v>-7.88274914441085</v>
      </c>
      <c r="AZ95" s="5">
        <v>1</v>
      </c>
      <c r="BA95" s="5">
        <v>1</v>
      </c>
    </row>
    <row r="96" spans="1:53">
      <c r="A96" t="s">
        <v>53</v>
      </c>
      <c r="B96" t="s">
        <v>54</v>
      </c>
      <c r="C96" t="s">
        <v>55</v>
      </c>
      <c r="D96" s="4" t="s">
        <v>68</v>
      </c>
      <c r="E96">
        <v>0.46875</v>
      </c>
      <c r="F96">
        <v>6.7</v>
      </c>
      <c r="G96">
        <v>1</v>
      </c>
      <c r="H96">
        <v>17</v>
      </c>
      <c r="I96">
        <v>44</v>
      </c>
      <c r="J96">
        <v>36</v>
      </c>
      <c r="K96">
        <v>20</v>
      </c>
      <c r="L96" t="s">
        <v>57</v>
      </c>
      <c r="M96" t="s">
        <v>58</v>
      </c>
      <c r="N96" t="s">
        <v>85</v>
      </c>
      <c r="O96">
        <v>0.77025329927</v>
      </c>
      <c r="P96">
        <f t="shared" si="4"/>
        <v>1.64320703844267</v>
      </c>
      <c r="Q96">
        <f t="shared" si="3"/>
        <v>0.496649843558511</v>
      </c>
      <c r="R96">
        <v>150</v>
      </c>
      <c r="S96" t="s">
        <v>60</v>
      </c>
      <c r="T96" t="s">
        <v>61</v>
      </c>
      <c r="U96" t="s">
        <v>62</v>
      </c>
      <c r="V96">
        <v>1</v>
      </c>
      <c r="W96">
        <v>0</v>
      </c>
      <c r="X96">
        <v>1</v>
      </c>
      <c r="Y96">
        <v>1</v>
      </c>
      <c r="Z96">
        <v>0</v>
      </c>
      <c r="AA96">
        <v>0</v>
      </c>
      <c r="AB96">
        <v>1</v>
      </c>
      <c r="AC96">
        <v>0</v>
      </c>
      <c r="AD96">
        <v>1</v>
      </c>
      <c r="AE96" s="5">
        <v>12.1252083333333</v>
      </c>
      <c r="AF96" s="5">
        <v>3.79034722222222</v>
      </c>
      <c r="AG96" s="5">
        <v>0.795108310685598</v>
      </c>
      <c r="AH96" s="5">
        <v>15.0625</v>
      </c>
      <c r="AI96" s="5">
        <v>0.459665733935349</v>
      </c>
      <c r="AJ96" s="5">
        <v>-0.476627440416371</v>
      </c>
      <c r="AK96" s="5">
        <v>0.476627440416371</v>
      </c>
      <c r="AL96" s="5">
        <v>0.459665733935349</v>
      </c>
      <c r="AM96" s="5">
        <v>10.044436145131</v>
      </c>
      <c r="AN96" s="5">
        <v>-0.389909625311938</v>
      </c>
      <c r="AO96" s="5">
        <v>-1.16</v>
      </c>
      <c r="AP96" s="5">
        <v>939.726830541714</v>
      </c>
      <c r="AQ96" s="5">
        <v>1.77550667912426</v>
      </c>
      <c r="AR96" s="5">
        <v>0</v>
      </c>
      <c r="AS96" s="5">
        <v>4.79453718407182</v>
      </c>
      <c r="AT96" s="5">
        <v>0</v>
      </c>
      <c r="AU96" s="5">
        <v>0</v>
      </c>
      <c r="AV96" s="5">
        <v>0</v>
      </c>
      <c r="AW96" s="5">
        <v>0</v>
      </c>
      <c r="AX96" s="5">
        <v>5.10652739484071</v>
      </c>
      <c r="AY96" s="5">
        <v>-7.00458333333333</v>
      </c>
      <c r="AZ96" s="5">
        <v>0.8</v>
      </c>
      <c r="BA96" s="5">
        <v>1</v>
      </c>
    </row>
    <row r="97" spans="1:53">
      <c r="A97" t="s">
        <v>53</v>
      </c>
      <c r="B97" t="s">
        <v>69</v>
      </c>
      <c r="C97" t="s">
        <v>55</v>
      </c>
      <c r="D97" s="4" t="s">
        <v>63</v>
      </c>
      <c r="E97">
        <v>1.429689</v>
      </c>
      <c r="F97">
        <v>6.7</v>
      </c>
      <c r="G97">
        <v>1</v>
      </c>
      <c r="H97">
        <v>17</v>
      </c>
      <c r="I97">
        <v>44</v>
      </c>
      <c r="J97">
        <v>36</v>
      </c>
      <c r="K97">
        <v>20</v>
      </c>
      <c r="L97" t="s">
        <v>57</v>
      </c>
      <c r="M97" t="s">
        <v>58</v>
      </c>
      <c r="N97" t="s">
        <v>85</v>
      </c>
      <c r="O97">
        <v>0.173336781905</v>
      </c>
      <c r="P97">
        <f t="shared" si="4"/>
        <v>0.121240900576979</v>
      </c>
      <c r="Q97">
        <f t="shared" si="3"/>
        <v>-2.1099757987685</v>
      </c>
      <c r="R97">
        <v>150</v>
      </c>
      <c r="S97" t="s">
        <v>60</v>
      </c>
      <c r="T97" t="s">
        <v>61</v>
      </c>
      <c r="U97" t="s">
        <v>62</v>
      </c>
      <c r="V97">
        <v>1</v>
      </c>
      <c r="W97">
        <v>0</v>
      </c>
      <c r="X97">
        <v>1</v>
      </c>
      <c r="Y97">
        <v>1</v>
      </c>
      <c r="Z97">
        <v>0</v>
      </c>
      <c r="AA97">
        <v>0</v>
      </c>
      <c r="AB97">
        <v>1</v>
      </c>
      <c r="AC97">
        <v>0</v>
      </c>
      <c r="AD97">
        <v>1</v>
      </c>
      <c r="AE97" s="5">
        <v>12.2120833333333</v>
      </c>
      <c r="AF97" s="5">
        <v>7.00097222222222</v>
      </c>
      <c r="AG97" s="5">
        <v>0.642528075697275</v>
      </c>
      <c r="AH97" s="5">
        <v>16.1176470588235</v>
      </c>
      <c r="AI97" s="5">
        <v>0.459694901747447</v>
      </c>
      <c r="AJ97" s="5">
        <v>-0.280752981483328</v>
      </c>
      <c r="AK97" s="5">
        <v>0.459694901747447</v>
      </c>
      <c r="AL97" s="5">
        <v>0.280752981483328</v>
      </c>
      <c r="AM97" s="5">
        <v>10.1452721658031</v>
      </c>
      <c r="AN97" s="5">
        <v>-0.382289160206052</v>
      </c>
      <c r="AO97" s="5">
        <v>-0.72</v>
      </c>
      <c r="AP97" s="5">
        <v>1212.20967645111</v>
      </c>
      <c r="AQ97" s="5">
        <v>2.16502218725737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4.55274987369036</v>
      </c>
      <c r="AY97" s="5">
        <v>-7.13430555555556</v>
      </c>
      <c r="AZ97" s="5">
        <v>1</v>
      </c>
      <c r="BA97" s="5">
        <v>1</v>
      </c>
    </row>
    <row r="98" spans="1:53">
      <c r="A98" t="s">
        <v>53</v>
      </c>
      <c r="B98" t="s">
        <v>69</v>
      </c>
      <c r="C98" t="s">
        <v>55</v>
      </c>
      <c r="D98" s="4" t="s">
        <v>64</v>
      </c>
      <c r="E98">
        <v>0.29297</v>
      </c>
      <c r="F98">
        <v>6.7</v>
      </c>
      <c r="G98">
        <v>1</v>
      </c>
      <c r="H98">
        <v>17</v>
      </c>
      <c r="I98">
        <v>44</v>
      </c>
      <c r="J98">
        <v>36</v>
      </c>
      <c r="K98">
        <v>20</v>
      </c>
      <c r="L98" t="s">
        <v>57</v>
      </c>
      <c r="M98" t="s">
        <v>58</v>
      </c>
      <c r="N98" t="s">
        <v>85</v>
      </c>
      <c r="O98">
        <v>0.180269163725</v>
      </c>
      <c r="P98">
        <f t="shared" si="4"/>
        <v>0.615316120165887</v>
      </c>
      <c r="Q98">
        <f t="shared" si="3"/>
        <v>-0.485619126706965</v>
      </c>
      <c r="R98">
        <v>150</v>
      </c>
      <c r="S98" t="s">
        <v>60</v>
      </c>
      <c r="T98" t="s">
        <v>61</v>
      </c>
      <c r="U98" t="s">
        <v>62</v>
      </c>
      <c r="V98">
        <v>1</v>
      </c>
      <c r="W98">
        <v>0</v>
      </c>
      <c r="X98">
        <v>1</v>
      </c>
      <c r="Y98">
        <v>1</v>
      </c>
      <c r="Z98">
        <v>0</v>
      </c>
      <c r="AA98">
        <v>0</v>
      </c>
      <c r="AB98">
        <v>1</v>
      </c>
      <c r="AC98">
        <v>0</v>
      </c>
      <c r="AD98">
        <v>1</v>
      </c>
      <c r="AE98" s="5">
        <v>12.3952083333333</v>
      </c>
      <c r="AF98" s="5">
        <v>3.99060232426304</v>
      </c>
      <c r="AG98" s="5">
        <v>0.809418673219238</v>
      </c>
      <c r="AH98" s="5">
        <v>15.5263157894737</v>
      </c>
      <c r="AI98" s="5">
        <v>0.459647654411774</v>
      </c>
      <c r="AJ98" s="5">
        <v>-0.476627457257861</v>
      </c>
      <c r="AK98" s="5">
        <v>0.476627457257861</v>
      </c>
      <c r="AL98" s="5">
        <v>0.459647654411774</v>
      </c>
      <c r="AM98" s="5">
        <v>9.98060231888395</v>
      </c>
      <c r="AN98" s="5">
        <v>-0.417658943556199</v>
      </c>
      <c r="AO98" s="5">
        <v>-1.3</v>
      </c>
      <c r="AP98" s="5">
        <v>3314.44680161703</v>
      </c>
      <c r="AQ98" s="5">
        <v>2.17852386673025</v>
      </c>
      <c r="AR98" s="5">
        <v>0</v>
      </c>
      <c r="AS98" s="5">
        <v>4.79453718407182</v>
      </c>
      <c r="AT98" s="5">
        <v>0</v>
      </c>
      <c r="AU98" s="5">
        <v>0</v>
      </c>
      <c r="AV98" s="5">
        <v>0</v>
      </c>
      <c r="AW98" s="5">
        <v>0</v>
      </c>
      <c r="AX98" s="5">
        <v>5.10652739484071</v>
      </c>
      <c r="AY98" s="5">
        <v>-7.29710978835979</v>
      </c>
      <c r="AZ98" s="5">
        <v>0.833333333333333</v>
      </c>
      <c r="BA98" s="5">
        <v>1</v>
      </c>
    </row>
    <row r="99" spans="1:53">
      <c r="A99" t="s">
        <v>53</v>
      </c>
      <c r="B99" t="s">
        <v>69</v>
      </c>
      <c r="C99" t="s">
        <v>55</v>
      </c>
      <c r="D99" s="4" t="s">
        <v>65</v>
      </c>
      <c r="E99">
        <v>0.43359</v>
      </c>
      <c r="F99">
        <v>6.7</v>
      </c>
      <c r="G99">
        <v>1</v>
      </c>
      <c r="H99">
        <v>17</v>
      </c>
      <c r="I99">
        <v>44</v>
      </c>
      <c r="J99">
        <v>36</v>
      </c>
      <c r="K99">
        <v>20</v>
      </c>
      <c r="L99" t="s">
        <v>57</v>
      </c>
      <c r="M99" t="s">
        <v>58</v>
      </c>
      <c r="N99" t="s">
        <v>85</v>
      </c>
      <c r="O99">
        <v>0.18373678813</v>
      </c>
      <c r="P99">
        <f t="shared" si="4"/>
        <v>0.423756978089901</v>
      </c>
      <c r="Q99">
        <f t="shared" si="3"/>
        <v>-0.858595152954272</v>
      </c>
      <c r="R99">
        <v>150</v>
      </c>
      <c r="S99" t="s">
        <v>60</v>
      </c>
      <c r="T99" t="s">
        <v>61</v>
      </c>
      <c r="U99" t="s">
        <v>62</v>
      </c>
      <c r="V99">
        <v>1</v>
      </c>
      <c r="W99">
        <v>0</v>
      </c>
      <c r="X99">
        <v>1</v>
      </c>
      <c r="Y99">
        <v>1</v>
      </c>
      <c r="Z99">
        <v>0</v>
      </c>
      <c r="AA99">
        <v>0</v>
      </c>
      <c r="AB99">
        <v>1</v>
      </c>
      <c r="AC99">
        <v>0</v>
      </c>
      <c r="AD99">
        <v>1</v>
      </c>
      <c r="AE99" s="5">
        <v>12.6956944444444</v>
      </c>
      <c r="AF99" s="5">
        <v>7.51923752834467</v>
      </c>
      <c r="AG99" s="5">
        <v>0.567423483996869</v>
      </c>
      <c r="AH99" s="5">
        <v>16.6086956521739</v>
      </c>
      <c r="AI99" s="5">
        <v>0.459647303367286</v>
      </c>
      <c r="AJ99" s="5">
        <v>-0.280752999575136</v>
      </c>
      <c r="AK99" s="5">
        <v>0.459647303367286</v>
      </c>
      <c r="AL99" s="5">
        <v>0.280752999575136</v>
      </c>
      <c r="AM99" s="5">
        <v>9.97962409166519</v>
      </c>
      <c r="AN99" s="5">
        <v>-0.433260944725331</v>
      </c>
      <c r="AO99" s="5">
        <v>-1</v>
      </c>
      <c r="AP99" s="5">
        <v>14934.5346948423</v>
      </c>
      <c r="AQ99" s="5">
        <v>2.69882520469918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4.55274987369036</v>
      </c>
      <c r="AY99" s="5">
        <v>-7.5938637329932</v>
      </c>
      <c r="AZ99" s="5">
        <v>1</v>
      </c>
      <c r="BA99" s="5">
        <v>1</v>
      </c>
    </row>
    <row r="100" spans="1:53">
      <c r="A100" t="s">
        <v>53</v>
      </c>
      <c r="B100" t="s">
        <v>69</v>
      </c>
      <c r="C100" t="s">
        <v>55</v>
      </c>
      <c r="D100" s="4" t="s">
        <v>66</v>
      </c>
      <c r="E100">
        <v>0.5625</v>
      </c>
      <c r="F100">
        <v>6.7</v>
      </c>
      <c r="G100">
        <v>1</v>
      </c>
      <c r="H100">
        <v>17</v>
      </c>
      <c r="I100">
        <v>44</v>
      </c>
      <c r="J100">
        <v>36</v>
      </c>
      <c r="K100">
        <v>20</v>
      </c>
      <c r="L100" t="s">
        <v>57</v>
      </c>
      <c r="M100" t="s">
        <v>58</v>
      </c>
      <c r="N100" t="s">
        <v>85</v>
      </c>
      <c r="O100">
        <v>0.55467942229</v>
      </c>
      <c r="P100">
        <f t="shared" si="4"/>
        <v>0.986096750737778</v>
      </c>
      <c r="Q100">
        <f t="shared" si="3"/>
        <v>-0.0140008047128887</v>
      </c>
      <c r="R100">
        <v>150</v>
      </c>
      <c r="S100" t="s">
        <v>60</v>
      </c>
      <c r="T100" t="s">
        <v>61</v>
      </c>
      <c r="U100" t="s">
        <v>62</v>
      </c>
      <c r="V100">
        <v>1</v>
      </c>
      <c r="W100">
        <v>0</v>
      </c>
      <c r="X100">
        <v>1</v>
      </c>
      <c r="Y100">
        <v>1</v>
      </c>
      <c r="Z100">
        <v>0</v>
      </c>
      <c r="AA100">
        <v>0</v>
      </c>
      <c r="AB100">
        <v>1</v>
      </c>
      <c r="AC100">
        <v>0</v>
      </c>
      <c r="AD100">
        <v>1</v>
      </c>
      <c r="AE100" s="5">
        <v>12.8254166666667</v>
      </c>
      <c r="AF100" s="5">
        <v>4.27882137345679</v>
      </c>
      <c r="AG100" s="5">
        <v>0.653062667189842</v>
      </c>
      <c r="AH100" s="5">
        <v>16.12</v>
      </c>
      <c r="AI100" s="5">
        <v>0.459647294455008</v>
      </c>
      <c r="AJ100" s="5">
        <v>-0.47662745733429</v>
      </c>
      <c r="AK100" s="5">
        <v>0.47662745733429</v>
      </c>
      <c r="AL100" s="5">
        <v>0.459647294455008</v>
      </c>
      <c r="AM100" s="5">
        <v>9.90907137329749</v>
      </c>
      <c r="AN100" s="5">
        <v>-0.449718247791216</v>
      </c>
      <c r="AO100" s="5">
        <v>-1.58</v>
      </c>
      <c r="AP100" s="5">
        <v>39741.8973369129</v>
      </c>
      <c r="AQ100" s="5">
        <v>2.73920148528388</v>
      </c>
      <c r="AR100" s="5">
        <v>0</v>
      </c>
      <c r="AS100" s="5">
        <v>4.79453718407182</v>
      </c>
      <c r="AT100" s="5">
        <v>0</v>
      </c>
      <c r="AU100" s="5">
        <v>0</v>
      </c>
      <c r="AV100" s="5">
        <v>0</v>
      </c>
      <c r="AW100" s="5">
        <v>0</v>
      </c>
      <c r="AX100" s="5">
        <v>5.10652739484071</v>
      </c>
      <c r="AY100" s="5">
        <v>-7.69383775037793</v>
      </c>
      <c r="AZ100" s="5">
        <v>0.875</v>
      </c>
      <c r="BA100" s="5">
        <v>1</v>
      </c>
    </row>
    <row r="101" spans="1:53">
      <c r="A101" t="s">
        <v>53</v>
      </c>
      <c r="B101" t="s">
        <v>69</v>
      </c>
      <c r="C101" t="s">
        <v>55</v>
      </c>
      <c r="D101" s="4" t="s">
        <v>67</v>
      </c>
      <c r="E101">
        <v>0.25781</v>
      </c>
      <c r="F101">
        <v>6.7</v>
      </c>
      <c r="G101">
        <v>1</v>
      </c>
      <c r="H101">
        <v>17</v>
      </c>
      <c r="I101">
        <v>44</v>
      </c>
      <c r="J101">
        <v>36</v>
      </c>
      <c r="K101">
        <v>20</v>
      </c>
      <c r="L101" t="s">
        <v>57</v>
      </c>
      <c r="M101" t="s">
        <v>58</v>
      </c>
      <c r="N101" t="s">
        <v>85</v>
      </c>
      <c r="O101">
        <v>1.01228543017</v>
      </c>
      <c r="P101">
        <f t="shared" si="4"/>
        <v>3.9264785313603</v>
      </c>
      <c r="Q101">
        <f t="shared" si="3"/>
        <v>1.36774297619026</v>
      </c>
      <c r="R101">
        <v>150</v>
      </c>
      <c r="S101" t="s">
        <v>60</v>
      </c>
      <c r="T101" t="s">
        <v>61</v>
      </c>
      <c r="U101" t="s">
        <v>62</v>
      </c>
      <c r="V101">
        <v>1</v>
      </c>
      <c r="W101">
        <v>0</v>
      </c>
      <c r="X101">
        <v>1</v>
      </c>
      <c r="Y101">
        <v>1</v>
      </c>
      <c r="Z101">
        <v>0</v>
      </c>
      <c r="AA101">
        <v>0</v>
      </c>
      <c r="AB101">
        <v>1</v>
      </c>
      <c r="AC101">
        <v>0</v>
      </c>
      <c r="AD101">
        <v>1</v>
      </c>
      <c r="AE101" s="5">
        <v>13.0371419123205</v>
      </c>
      <c r="AF101" s="5">
        <v>7.66829457707096</v>
      </c>
      <c r="AG101" s="5">
        <v>0.402493807679921</v>
      </c>
      <c r="AH101" s="5">
        <v>16.8965517241379</v>
      </c>
      <c r="AI101" s="5">
        <v>0.459647294440031</v>
      </c>
      <c r="AJ101" s="5">
        <v>-0.280752999575314</v>
      </c>
      <c r="AK101" s="5">
        <v>0.459647294440031</v>
      </c>
      <c r="AL101" s="5">
        <v>0.280752999575314</v>
      </c>
      <c r="AM101" s="5">
        <v>9.90856544965598</v>
      </c>
      <c r="AN101" s="5">
        <v>-0.457885273814649</v>
      </c>
      <c r="AO101" s="5">
        <v>-1.28</v>
      </c>
      <c r="AP101" s="5">
        <v>176558.643253875</v>
      </c>
      <c r="AQ101" s="5">
        <v>3.26474212239717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4.55274987369036</v>
      </c>
      <c r="AY101" s="5">
        <v>-7.88274914441085</v>
      </c>
      <c r="AZ101" s="5">
        <v>1</v>
      </c>
      <c r="BA101" s="5">
        <v>1</v>
      </c>
    </row>
    <row r="102" spans="1:53">
      <c r="A102" t="s">
        <v>53</v>
      </c>
      <c r="B102" t="s">
        <v>69</v>
      </c>
      <c r="C102" t="s">
        <v>55</v>
      </c>
      <c r="D102" s="4" t="s">
        <v>68</v>
      </c>
      <c r="E102">
        <v>0.58594</v>
      </c>
      <c r="F102">
        <v>6.7</v>
      </c>
      <c r="G102">
        <v>1</v>
      </c>
      <c r="H102">
        <v>17</v>
      </c>
      <c r="I102">
        <v>44</v>
      </c>
      <c r="J102">
        <v>36</v>
      </c>
      <c r="K102">
        <v>20</v>
      </c>
      <c r="L102" t="s">
        <v>57</v>
      </c>
      <c r="M102" t="s">
        <v>58</v>
      </c>
      <c r="N102" t="s">
        <v>85</v>
      </c>
      <c r="O102">
        <v>0.76268241378</v>
      </c>
      <c r="P102">
        <f t="shared" si="4"/>
        <v>1.30163909919104</v>
      </c>
      <c r="Q102">
        <f t="shared" si="3"/>
        <v>0.26362431580084</v>
      </c>
      <c r="R102">
        <v>150</v>
      </c>
      <c r="S102" t="s">
        <v>60</v>
      </c>
      <c r="T102" t="s">
        <v>61</v>
      </c>
      <c r="U102" t="s">
        <v>62</v>
      </c>
      <c r="V102">
        <v>1</v>
      </c>
      <c r="W102">
        <v>0</v>
      </c>
      <c r="X102">
        <v>1</v>
      </c>
      <c r="Y102">
        <v>1</v>
      </c>
      <c r="Z102">
        <v>0</v>
      </c>
      <c r="AA102">
        <v>0</v>
      </c>
      <c r="AB102">
        <v>1</v>
      </c>
      <c r="AC102">
        <v>0</v>
      </c>
      <c r="AD102">
        <v>1</v>
      </c>
      <c r="AE102" s="5">
        <v>12.1252083333333</v>
      </c>
      <c r="AF102" s="5">
        <v>3.79034722222222</v>
      </c>
      <c r="AG102" s="5">
        <v>0.795108310685598</v>
      </c>
      <c r="AH102" s="5">
        <v>15.0625</v>
      </c>
      <c r="AI102" s="5">
        <v>0.459665733935349</v>
      </c>
      <c r="AJ102" s="5">
        <v>-0.476627440416371</v>
      </c>
      <c r="AK102" s="5">
        <v>0.476627440416371</v>
      </c>
      <c r="AL102" s="5">
        <v>0.459665733935349</v>
      </c>
      <c r="AM102" s="5">
        <v>10.044436145131</v>
      </c>
      <c r="AN102" s="5">
        <v>-0.389909625311938</v>
      </c>
      <c r="AO102" s="5">
        <v>-1.16</v>
      </c>
      <c r="AP102" s="5">
        <v>939.726830541714</v>
      </c>
      <c r="AQ102" s="5">
        <v>1.77550667912426</v>
      </c>
      <c r="AR102" s="5">
        <v>0</v>
      </c>
      <c r="AS102" s="5">
        <v>4.79453718407182</v>
      </c>
      <c r="AT102" s="5">
        <v>0</v>
      </c>
      <c r="AU102" s="5">
        <v>0</v>
      </c>
      <c r="AV102" s="5">
        <v>0</v>
      </c>
      <c r="AW102" s="5">
        <v>0</v>
      </c>
      <c r="AX102" s="5">
        <v>5.10652739484071</v>
      </c>
      <c r="AY102" s="5">
        <v>-7.00458333333333</v>
      </c>
      <c r="AZ102" s="5">
        <v>0.8</v>
      </c>
      <c r="BA102" s="5">
        <v>1</v>
      </c>
    </row>
    <row r="103" spans="1:53">
      <c r="A103" t="s">
        <v>53</v>
      </c>
      <c r="B103" t="s">
        <v>70</v>
      </c>
      <c r="C103" t="s">
        <v>55</v>
      </c>
      <c r="D103" s="4" t="s">
        <v>64</v>
      </c>
      <c r="E103">
        <v>0.0586</v>
      </c>
      <c r="F103">
        <v>6.7</v>
      </c>
      <c r="G103">
        <v>1</v>
      </c>
      <c r="H103">
        <v>17</v>
      </c>
      <c r="I103">
        <v>44</v>
      </c>
      <c r="J103">
        <v>36</v>
      </c>
      <c r="K103">
        <v>20</v>
      </c>
      <c r="L103" t="s">
        <v>57</v>
      </c>
      <c r="M103" t="s">
        <v>58</v>
      </c>
      <c r="N103" t="s">
        <v>85</v>
      </c>
      <c r="O103">
        <v>0.187865784028</v>
      </c>
      <c r="P103">
        <f t="shared" si="4"/>
        <v>3.20590075133106</v>
      </c>
      <c r="Q103">
        <f t="shared" si="3"/>
        <v>1.16499309654382</v>
      </c>
      <c r="R103">
        <v>150</v>
      </c>
      <c r="S103" t="s">
        <v>60</v>
      </c>
      <c r="T103" t="s">
        <v>61</v>
      </c>
      <c r="U103" t="s">
        <v>62</v>
      </c>
      <c r="V103">
        <v>1</v>
      </c>
      <c r="W103">
        <v>0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0</v>
      </c>
      <c r="AD103">
        <v>1</v>
      </c>
      <c r="AE103" s="5">
        <v>12.3952083333333</v>
      </c>
      <c r="AF103" s="5">
        <v>3.99060232426304</v>
      </c>
      <c r="AG103" s="5">
        <v>0.809418673219238</v>
      </c>
      <c r="AH103" s="5">
        <v>15.5263157894737</v>
      </c>
      <c r="AI103" s="5">
        <v>0.459647654411774</v>
      </c>
      <c r="AJ103" s="5">
        <v>-0.476627457257861</v>
      </c>
      <c r="AK103" s="5">
        <v>0.476627457257861</v>
      </c>
      <c r="AL103" s="5">
        <v>0.459647654411774</v>
      </c>
      <c r="AM103" s="5">
        <v>9.98060231888395</v>
      </c>
      <c r="AN103" s="5">
        <v>-0.417658943556199</v>
      </c>
      <c r="AO103" s="5">
        <v>-1.3</v>
      </c>
      <c r="AP103" s="5">
        <v>3314.44680161703</v>
      </c>
      <c r="AQ103" s="5">
        <v>2.17852386673025</v>
      </c>
      <c r="AR103" s="5">
        <v>0</v>
      </c>
      <c r="AS103" s="5">
        <v>4.79453718407182</v>
      </c>
      <c r="AT103" s="5">
        <v>0</v>
      </c>
      <c r="AU103" s="5">
        <v>0</v>
      </c>
      <c r="AV103" s="5">
        <v>0</v>
      </c>
      <c r="AW103" s="5">
        <v>0</v>
      </c>
      <c r="AX103" s="5">
        <v>5.10652739484071</v>
      </c>
      <c r="AY103" s="5">
        <v>-7.29710978835979</v>
      </c>
      <c r="AZ103" s="5">
        <v>0.833333333333333</v>
      </c>
      <c r="BA103" s="5">
        <v>1</v>
      </c>
    </row>
    <row r="104" spans="1:53">
      <c r="A104" t="s">
        <v>53</v>
      </c>
      <c r="B104" t="s">
        <v>70</v>
      </c>
      <c r="C104" t="s">
        <v>55</v>
      </c>
      <c r="D104" s="4" t="s">
        <v>65</v>
      </c>
      <c r="E104">
        <v>0.08203</v>
      </c>
      <c r="F104">
        <v>6.7</v>
      </c>
      <c r="G104">
        <v>1</v>
      </c>
      <c r="H104">
        <v>17</v>
      </c>
      <c r="I104">
        <v>44</v>
      </c>
      <c r="J104">
        <v>36</v>
      </c>
      <c r="K104">
        <v>20</v>
      </c>
      <c r="L104" t="s">
        <v>57</v>
      </c>
      <c r="M104" t="s">
        <v>58</v>
      </c>
      <c r="N104" t="s">
        <v>85</v>
      </c>
      <c r="O104">
        <v>0.170787487272</v>
      </c>
      <c r="P104">
        <f t="shared" si="4"/>
        <v>2.08201252312569</v>
      </c>
      <c r="Q104">
        <f t="shared" si="3"/>
        <v>0.733334985124584</v>
      </c>
      <c r="R104">
        <v>150</v>
      </c>
      <c r="S104" t="s">
        <v>60</v>
      </c>
      <c r="T104" t="s">
        <v>61</v>
      </c>
      <c r="U104" t="s">
        <v>62</v>
      </c>
      <c r="V104">
        <v>1</v>
      </c>
      <c r="W104">
        <v>0</v>
      </c>
      <c r="X104">
        <v>1</v>
      </c>
      <c r="Y104">
        <v>1</v>
      </c>
      <c r="Z104">
        <v>0</v>
      </c>
      <c r="AA104">
        <v>0</v>
      </c>
      <c r="AB104">
        <v>1</v>
      </c>
      <c r="AC104">
        <v>0</v>
      </c>
      <c r="AD104">
        <v>1</v>
      </c>
      <c r="AE104" s="5">
        <v>12.6956944444444</v>
      </c>
      <c r="AF104" s="5">
        <v>7.51923752834467</v>
      </c>
      <c r="AG104" s="5">
        <v>0.567423483996869</v>
      </c>
      <c r="AH104" s="5">
        <v>16.6086956521739</v>
      </c>
      <c r="AI104" s="5">
        <v>0.459647303367286</v>
      </c>
      <c r="AJ104" s="5">
        <v>-0.280752999575136</v>
      </c>
      <c r="AK104" s="5">
        <v>0.459647303367286</v>
      </c>
      <c r="AL104" s="5">
        <v>0.280752999575136</v>
      </c>
      <c r="AM104" s="5">
        <v>9.97962409166519</v>
      </c>
      <c r="AN104" s="5">
        <v>-0.433260944725331</v>
      </c>
      <c r="AO104" s="5">
        <v>-1</v>
      </c>
      <c r="AP104" s="5">
        <v>14934.5346948423</v>
      </c>
      <c r="AQ104" s="5">
        <v>2.69882520469918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4.55274987369036</v>
      </c>
      <c r="AY104" s="5">
        <v>-7.5938637329932</v>
      </c>
      <c r="AZ104" s="5">
        <v>1</v>
      </c>
      <c r="BA104" s="5">
        <v>1</v>
      </c>
    </row>
    <row r="105" spans="1:53">
      <c r="A105" t="s">
        <v>53</v>
      </c>
      <c r="B105" t="s">
        <v>70</v>
      </c>
      <c r="C105" t="s">
        <v>55</v>
      </c>
      <c r="D105" s="4" t="s">
        <v>66</v>
      </c>
      <c r="E105">
        <v>0.29297</v>
      </c>
      <c r="F105">
        <v>6.7</v>
      </c>
      <c r="G105">
        <v>1</v>
      </c>
      <c r="H105">
        <v>17</v>
      </c>
      <c r="I105">
        <v>44</v>
      </c>
      <c r="J105">
        <v>36</v>
      </c>
      <c r="K105">
        <v>20</v>
      </c>
      <c r="L105" t="s">
        <v>57</v>
      </c>
      <c r="M105" t="s">
        <v>58</v>
      </c>
      <c r="N105" t="s">
        <v>85</v>
      </c>
      <c r="O105">
        <v>0.63874264876</v>
      </c>
      <c r="P105">
        <f t="shared" si="4"/>
        <v>2.18023227210977</v>
      </c>
      <c r="Q105">
        <f t="shared" si="3"/>
        <v>0.779431417964631</v>
      </c>
      <c r="R105">
        <v>150</v>
      </c>
      <c r="S105" t="s">
        <v>60</v>
      </c>
      <c r="T105" t="s">
        <v>61</v>
      </c>
      <c r="U105" t="s">
        <v>62</v>
      </c>
      <c r="V105">
        <v>1</v>
      </c>
      <c r="W105">
        <v>0</v>
      </c>
      <c r="X105">
        <v>1</v>
      </c>
      <c r="Y105">
        <v>1</v>
      </c>
      <c r="Z105">
        <v>0</v>
      </c>
      <c r="AA105">
        <v>0</v>
      </c>
      <c r="AB105">
        <v>1</v>
      </c>
      <c r="AC105">
        <v>0</v>
      </c>
      <c r="AD105">
        <v>1</v>
      </c>
      <c r="AE105" s="5">
        <v>12.8254166666667</v>
      </c>
      <c r="AF105" s="5">
        <v>4.27882137345679</v>
      </c>
      <c r="AG105" s="5">
        <v>0.653062667189842</v>
      </c>
      <c r="AH105" s="5">
        <v>16.12</v>
      </c>
      <c r="AI105" s="5">
        <v>0.459647294455008</v>
      </c>
      <c r="AJ105" s="5">
        <v>-0.47662745733429</v>
      </c>
      <c r="AK105" s="5">
        <v>0.47662745733429</v>
      </c>
      <c r="AL105" s="5">
        <v>0.459647294455008</v>
      </c>
      <c r="AM105" s="5">
        <v>9.90907137329749</v>
      </c>
      <c r="AN105" s="5">
        <v>-0.449718247791216</v>
      </c>
      <c r="AO105" s="5">
        <v>-1.58</v>
      </c>
      <c r="AP105" s="5">
        <v>39741.8973369129</v>
      </c>
      <c r="AQ105" s="5">
        <v>2.73920148528388</v>
      </c>
      <c r="AR105" s="5">
        <v>0</v>
      </c>
      <c r="AS105" s="5">
        <v>4.79453718407182</v>
      </c>
      <c r="AT105" s="5">
        <v>0</v>
      </c>
      <c r="AU105" s="5">
        <v>0</v>
      </c>
      <c r="AV105" s="5">
        <v>0</v>
      </c>
      <c r="AW105" s="5">
        <v>0</v>
      </c>
      <c r="AX105" s="5">
        <v>5.10652739484071</v>
      </c>
      <c r="AY105" s="5">
        <v>-7.69383775037793</v>
      </c>
      <c r="AZ105" s="5">
        <v>0.875</v>
      </c>
      <c r="BA105" s="5">
        <v>1</v>
      </c>
    </row>
    <row r="106" spans="1:53">
      <c r="A106" t="s">
        <v>53</v>
      </c>
      <c r="B106" t="s">
        <v>70</v>
      </c>
      <c r="C106" t="s">
        <v>55</v>
      </c>
      <c r="D106" s="4" t="s">
        <v>67</v>
      </c>
      <c r="E106">
        <v>0.0585999999999998</v>
      </c>
      <c r="F106">
        <v>6.7</v>
      </c>
      <c r="G106">
        <v>1</v>
      </c>
      <c r="H106">
        <v>17</v>
      </c>
      <c r="I106">
        <v>44</v>
      </c>
      <c r="J106">
        <v>36</v>
      </c>
      <c r="K106">
        <v>20</v>
      </c>
      <c r="L106" t="s">
        <v>57</v>
      </c>
      <c r="M106" t="s">
        <v>58</v>
      </c>
      <c r="N106" t="s">
        <v>85</v>
      </c>
      <c r="O106">
        <v>1.09303867562</v>
      </c>
      <c r="P106">
        <f t="shared" si="4"/>
        <v>18.6525371266212</v>
      </c>
      <c r="Q106">
        <f t="shared" si="3"/>
        <v>2.92598217579829</v>
      </c>
      <c r="R106">
        <v>150</v>
      </c>
      <c r="S106" t="s">
        <v>60</v>
      </c>
      <c r="T106" t="s">
        <v>61</v>
      </c>
      <c r="U106" t="s">
        <v>62</v>
      </c>
      <c r="V106">
        <v>1</v>
      </c>
      <c r="W106">
        <v>0</v>
      </c>
      <c r="X106">
        <v>1</v>
      </c>
      <c r="Y106">
        <v>1</v>
      </c>
      <c r="Z106">
        <v>0</v>
      </c>
      <c r="AA106">
        <v>0</v>
      </c>
      <c r="AB106">
        <v>1</v>
      </c>
      <c r="AC106">
        <v>0</v>
      </c>
      <c r="AD106">
        <v>1</v>
      </c>
      <c r="AE106" s="5">
        <v>13.0371419123205</v>
      </c>
      <c r="AF106" s="5">
        <v>7.66829457707096</v>
      </c>
      <c r="AG106" s="5">
        <v>0.402493807679921</v>
      </c>
      <c r="AH106" s="5">
        <v>16.8965517241379</v>
      </c>
      <c r="AI106" s="5">
        <v>0.459647294440031</v>
      </c>
      <c r="AJ106" s="5">
        <v>-0.280752999575314</v>
      </c>
      <c r="AK106" s="5">
        <v>0.459647294440031</v>
      </c>
      <c r="AL106" s="5">
        <v>0.280752999575314</v>
      </c>
      <c r="AM106" s="5">
        <v>9.90856544965598</v>
      </c>
      <c r="AN106" s="5">
        <v>-0.457885273814649</v>
      </c>
      <c r="AO106" s="5">
        <v>-1.28</v>
      </c>
      <c r="AP106" s="5">
        <v>176558.643253875</v>
      </c>
      <c r="AQ106" s="5">
        <v>3.26474212239717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4.55274987369036</v>
      </c>
      <c r="AY106" s="5">
        <v>-7.88274914441085</v>
      </c>
      <c r="AZ106" s="5">
        <v>1</v>
      </c>
      <c r="BA106" s="5">
        <v>1</v>
      </c>
    </row>
    <row r="107" spans="1:53">
      <c r="A107" t="s">
        <v>53</v>
      </c>
      <c r="B107" t="s">
        <v>70</v>
      </c>
      <c r="C107" t="s">
        <v>55</v>
      </c>
      <c r="D107" s="4" t="s">
        <v>68</v>
      </c>
      <c r="E107">
        <v>0.0234300000000003</v>
      </c>
      <c r="F107">
        <v>6.7</v>
      </c>
      <c r="G107">
        <v>1</v>
      </c>
      <c r="H107">
        <v>17</v>
      </c>
      <c r="I107">
        <v>44</v>
      </c>
      <c r="J107">
        <v>36</v>
      </c>
      <c r="K107">
        <v>20</v>
      </c>
      <c r="L107" t="s">
        <v>57</v>
      </c>
      <c r="M107" t="s">
        <v>58</v>
      </c>
      <c r="N107" t="s">
        <v>85</v>
      </c>
      <c r="O107">
        <v>0.73438540432</v>
      </c>
      <c r="P107">
        <f t="shared" si="4"/>
        <v>31.3438072693124</v>
      </c>
      <c r="Q107">
        <f t="shared" si="3"/>
        <v>3.44501671229713</v>
      </c>
      <c r="R107">
        <v>150</v>
      </c>
      <c r="S107" t="s">
        <v>60</v>
      </c>
      <c r="T107" t="s">
        <v>61</v>
      </c>
      <c r="U107" t="s">
        <v>62</v>
      </c>
      <c r="V107">
        <v>1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1</v>
      </c>
      <c r="AC107">
        <v>0</v>
      </c>
      <c r="AD107">
        <v>1</v>
      </c>
      <c r="AE107" s="5">
        <v>12.1252083333333</v>
      </c>
      <c r="AF107" s="5">
        <v>3.79034722222222</v>
      </c>
      <c r="AG107" s="5">
        <v>0.795108310685598</v>
      </c>
      <c r="AH107" s="5">
        <v>15.0625</v>
      </c>
      <c r="AI107" s="5">
        <v>0.459665733935349</v>
      </c>
      <c r="AJ107" s="5">
        <v>-0.476627440416371</v>
      </c>
      <c r="AK107" s="5">
        <v>0.476627440416371</v>
      </c>
      <c r="AL107" s="5">
        <v>0.459665733935349</v>
      </c>
      <c r="AM107" s="5">
        <v>10.044436145131</v>
      </c>
      <c r="AN107" s="5">
        <v>-0.389909625311938</v>
      </c>
      <c r="AO107" s="5">
        <v>-1.16</v>
      </c>
      <c r="AP107" s="5">
        <v>939.726830541714</v>
      </c>
      <c r="AQ107" s="5">
        <v>1.77550667912426</v>
      </c>
      <c r="AR107" s="5">
        <v>0</v>
      </c>
      <c r="AS107" s="5">
        <v>4.79453718407182</v>
      </c>
      <c r="AT107" s="5">
        <v>0</v>
      </c>
      <c r="AU107" s="5">
        <v>0</v>
      </c>
      <c r="AV107" s="5">
        <v>0</v>
      </c>
      <c r="AW107" s="5">
        <v>0</v>
      </c>
      <c r="AX107" s="5">
        <v>5.10652739484071</v>
      </c>
      <c r="AY107" s="5">
        <v>-7.00458333333333</v>
      </c>
      <c r="AZ107" s="5">
        <v>0.8</v>
      </c>
      <c r="BA107" s="5">
        <v>1</v>
      </c>
    </row>
    <row r="108" spans="1:53">
      <c r="A108" t="s">
        <v>53</v>
      </c>
      <c r="B108" t="s">
        <v>71</v>
      </c>
      <c r="C108" t="s">
        <v>55</v>
      </c>
      <c r="D108" s="4" t="s">
        <v>56</v>
      </c>
      <c r="E108">
        <v>2.05078</v>
      </c>
      <c r="F108">
        <v>6.7</v>
      </c>
      <c r="G108">
        <v>1</v>
      </c>
      <c r="H108">
        <v>17</v>
      </c>
      <c r="I108">
        <v>44</v>
      </c>
      <c r="J108">
        <v>36</v>
      </c>
      <c r="K108">
        <v>20</v>
      </c>
      <c r="L108" t="s">
        <v>57</v>
      </c>
      <c r="M108" t="s">
        <v>58</v>
      </c>
      <c r="N108" t="s">
        <v>85</v>
      </c>
      <c r="O108">
        <v>0.59373676531</v>
      </c>
      <c r="P108">
        <f t="shared" si="4"/>
        <v>0.289517532504706</v>
      </c>
      <c r="Q108">
        <f t="shared" si="3"/>
        <v>-1.23953942247399</v>
      </c>
      <c r="R108">
        <v>150</v>
      </c>
      <c r="S108" t="s">
        <v>60</v>
      </c>
      <c r="T108" t="s">
        <v>61</v>
      </c>
      <c r="U108" t="s">
        <v>62</v>
      </c>
      <c r="V108">
        <v>1</v>
      </c>
      <c r="W108">
        <v>0</v>
      </c>
      <c r="X108">
        <v>1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1</v>
      </c>
      <c r="AE108" s="5">
        <v>11.7505787037037</v>
      </c>
      <c r="AF108" s="5">
        <v>3.53256944444444</v>
      </c>
      <c r="AG108" s="5">
        <v>0.712441776552488</v>
      </c>
      <c r="AH108" s="5">
        <v>14.3846153846154</v>
      </c>
      <c r="AI108" s="5">
        <v>0.460094687009651</v>
      </c>
      <c r="AJ108" s="5">
        <v>-0.476625664235965</v>
      </c>
      <c r="AK108" s="5">
        <v>0.476625664235965</v>
      </c>
      <c r="AL108" s="5">
        <v>0.460094687009651</v>
      </c>
      <c r="AM108" s="5">
        <v>10.1473915373546</v>
      </c>
      <c r="AN108" s="5">
        <v>-0.347050241178715</v>
      </c>
      <c r="AO108" s="5">
        <v>-1.02</v>
      </c>
      <c r="AP108" s="5">
        <v>260.658615872357</v>
      </c>
      <c r="AQ108" s="5">
        <v>1.67669845728037</v>
      </c>
      <c r="AR108" s="5">
        <v>0</v>
      </c>
      <c r="AS108" s="5">
        <v>4.79453718407182</v>
      </c>
      <c r="AT108" s="5">
        <v>0</v>
      </c>
      <c r="AU108" s="5">
        <v>0</v>
      </c>
      <c r="AV108" s="5">
        <v>0</v>
      </c>
      <c r="AW108" s="5">
        <v>0</v>
      </c>
      <c r="AX108" s="5">
        <v>5.10652739484071</v>
      </c>
      <c r="AY108" s="5">
        <v>-6.60229166666667</v>
      </c>
      <c r="AZ108" s="5">
        <v>0.75</v>
      </c>
      <c r="BA108" s="5">
        <v>1</v>
      </c>
    </row>
    <row r="109" spans="1:53">
      <c r="A109" t="s">
        <v>53</v>
      </c>
      <c r="B109" t="s">
        <v>71</v>
      </c>
      <c r="C109" t="s">
        <v>55</v>
      </c>
      <c r="D109" s="4" t="s">
        <v>64</v>
      </c>
      <c r="E109">
        <v>0.0585999999999998</v>
      </c>
      <c r="F109">
        <v>6.7</v>
      </c>
      <c r="G109">
        <v>1</v>
      </c>
      <c r="H109">
        <v>17</v>
      </c>
      <c r="I109">
        <v>44</v>
      </c>
      <c r="J109">
        <v>36</v>
      </c>
      <c r="K109">
        <v>20</v>
      </c>
      <c r="L109" t="s">
        <v>57</v>
      </c>
      <c r="M109" t="s">
        <v>58</v>
      </c>
      <c r="N109" t="s">
        <v>85</v>
      </c>
      <c r="O109">
        <v>0.19502467326</v>
      </c>
      <c r="P109">
        <f t="shared" si="4"/>
        <v>3.32806609658704</v>
      </c>
      <c r="Q109">
        <f t="shared" si="3"/>
        <v>1.20239138351506</v>
      </c>
      <c r="R109">
        <v>150</v>
      </c>
      <c r="S109" t="s">
        <v>60</v>
      </c>
      <c r="T109" t="s">
        <v>61</v>
      </c>
      <c r="U109" t="s">
        <v>62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1</v>
      </c>
      <c r="AC109">
        <v>0</v>
      </c>
      <c r="AD109">
        <v>1</v>
      </c>
      <c r="AE109" s="5">
        <v>12.3952083333333</v>
      </c>
      <c r="AF109" s="5">
        <v>3.99060232426304</v>
      </c>
      <c r="AG109" s="5">
        <v>0.809418673219238</v>
      </c>
      <c r="AH109" s="5">
        <v>15.5263157894737</v>
      </c>
      <c r="AI109" s="5">
        <v>0.459647654411774</v>
      </c>
      <c r="AJ109" s="5">
        <v>-0.476627457257861</v>
      </c>
      <c r="AK109" s="5">
        <v>0.476627457257861</v>
      </c>
      <c r="AL109" s="5">
        <v>0.459647654411774</v>
      </c>
      <c r="AM109" s="5">
        <v>9.98060231888395</v>
      </c>
      <c r="AN109" s="5">
        <v>-0.417658943556199</v>
      </c>
      <c r="AO109" s="5">
        <v>-1.3</v>
      </c>
      <c r="AP109" s="5">
        <v>3314.44680161703</v>
      </c>
      <c r="AQ109" s="5">
        <v>2.17852386673025</v>
      </c>
      <c r="AR109" s="5">
        <v>0</v>
      </c>
      <c r="AS109" s="5">
        <v>4.79453718407182</v>
      </c>
      <c r="AT109" s="5">
        <v>0</v>
      </c>
      <c r="AU109" s="5">
        <v>0</v>
      </c>
      <c r="AV109" s="5">
        <v>0</v>
      </c>
      <c r="AW109" s="5">
        <v>0</v>
      </c>
      <c r="AX109" s="5">
        <v>5.10652739484071</v>
      </c>
      <c r="AY109" s="5">
        <v>-7.29710978835979</v>
      </c>
      <c r="AZ109" s="5">
        <v>0.833333333333333</v>
      </c>
      <c r="BA109" s="5">
        <v>1</v>
      </c>
    </row>
    <row r="110" spans="1:53">
      <c r="A110" t="s">
        <v>53</v>
      </c>
      <c r="B110" t="s">
        <v>71</v>
      </c>
      <c r="C110" t="s">
        <v>55</v>
      </c>
      <c r="D110" s="4" t="s">
        <v>65</v>
      </c>
      <c r="E110">
        <v>0.0351500000000002</v>
      </c>
      <c r="F110">
        <v>6.7</v>
      </c>
      <c r="G110">
        <v>1</v>
      </c>
      <c r="H110">
        <v>17</v>
      </c>
      <c r="I110">
        <v>44</v>
      </c>
      <c r="J110">
        <v>36</v>
      </c>
      <c r="K110">
        <v>20</v>
      </c>
      <c r="L110" t="s">
        <v>57</v>
      </c>
      <c r="M110" t="s">
        <v>58</v>
      </c>
      <c r="N110" t="s">
        <v>85</v>
      </c>
      <c r="O110">
        <v>0.20802416769</v>
      </c>
      <c r="P110">
        <f t="shared" si="4"/>
        <v>5.91818400256042</v>
      </c>
      <c r="Q110">
        <f t="shared" si="3"/>
        <v>1.77802964551232</v>
      </c>
      <c r="R110">
        <v>150</v>
      </c>
      <c r="S110" t="s">
        <v>60</v>
      </c>
      <c r="T110" t="s">
        <v>61</v>
      </c>
      <c r="U110" t="s">
        <v>62</v>
      </c>
      <c r="V110">
        <v>1</v>
      </c>
      <c r="W110">
        <v>0</v>
      </c>
      <c r="X110">
        <v>1</v>
      </c>
      <c r="Y110">
        <v>1</v>
      </c>
      <c r="Z110">
        <v>0</v>
      </c>
      <c r="AA110">
        <v>0</v>
      </c>
      <c r="AB110">
        <v>1</v>
      </c>
      <c r="AC110">
        <v>0</v>
      </c>
      <c r="AD110">
        <v>1</v>
      </c>
      <c r="AE110" s="5">
        <v>12.6956944444444</v>
      </c>
      <c r="AF110" s="5">
        <v>7.51923752834467</v>
      </c>
      <c r="AG110" s="5">
        <v>0.567423483996869</v>
      </c>
      <c r="AH110" s="5">
        <v>16.6086956521739</v>
      </c>
      <c r="AI110" s="5">
        <v>0.459647303367286</v>
      </c>
      <c r="AJ110" s="5">
        <v>-0.280752999575136</v>
      </c>
      <c r="AK110" s="5">
        <v>0.459647303367286</v>
      </c>
      <c r="AL110" s="5">
        <v>0.280752999575136</v>
      </c>
      <c r="AM110" s="5">
        <v>9.97962409166519</v>
      </c>
      <c r="AN110" s="5">
        <v>-0.433260944725331</v>
      </c>
      <c r="AO110" s="5">
        <v>-1</v>
      </c>
      <c r="AP110" s="5">
        <v>14934.5346948423</v>
      </c>
      <c r="AQ110" s="5">
        <v>2.69882520469918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4.55274987369036</v>
      </c>
      <c r="AY110" s="5">
        <v>-7.5938637329932</v>
      </c>
      <c r="AZ110" s="5">
        <v>1</v>
      </c>
      <c r="BA110" s="5">
        <v>1</v>
      </c>
    </row>
    <row r="111" spans="1:53">
      <c r="A111" t="s">
        <v>53</v>
      </c>
      <c r="B111" t="s">
        <v>71</v>
      </c>
      <c r="C111" t="s">
        <v>55</v>
      </c>
      <c r="D111" s="4" t="s">
        <v>66</v>
      </c>
      <c r="E111">
        <v>0.375</v>
      </c>
      <c r="F111">
        <v>6.7</v>
      </c>
      <c r="G111">
        <v>1</v>
      </c>
      <c r="H111">
        <v>17</v>
      </c>
      <c r="I111">
        <v>44</v>
      </c>
      <c r="J111">
        <v>36</v>
      </c>
      <c r="K111">
        <v>20</v>
      </c>
      <c r="L111" t="s">
        <v>57</v>
      </c>
      <c r="M111" t="s">
        <v>58</v>
      </c>
      <c r="N111" t="s">
        <v>85</v>
      </c>
      <c r="O111">
        <v>0.61540617345</v>
      </c>
      <c r="P111">
        <f t="shared" si="4"/>
        <v>1.6410831292</v>
      </c>
      <c r="Q111">
        <f t="shared" si="3"/>
        <v>0.495356468472674</v>
      </c>
      <c r="R111">
        <v>150</v>
      </c>
      <c r="S111" t="s">
        <v>60</v>
      </c>
      <c r="T111" t="s">
        <v>61</v>
      </c>
      <c r="U111" t="s">
        <v>62</v>
      </c>
      <c r="V111">
        <v>1</v>
      </c>
      <c r="W111">
        <v>0</v>
      </c>
      <c r="X111">
        <v>1</v>
      </c>
      <c r="Y111">
        <v>1</v>
      </c>
      <c r="Z111">
        <v>0</v>
      </c>
      <c r="AA111">
        <v>0</v>
      </c>
      <c r="AB111">
        <v>1</v>
      </c>
      <c r="AC111">
        <v>0</v>
      </c>
      <c r="AD111">
        <v>1</v>
      </c>
      <c r="AE111" s="5">
        <v>12.8254166666667</v>
      </c>
      <c r="AF111" s="5">
        <v>4.27882137345679</v>
      </c>
      <c r="AG111" s="5">
        <v>0.653062667189842</v>
      </c>
      <c r="AH111" s="5">
        <v>16.12</v>
      </c>
      <c r="AI111" s="5">
        <v>0.459647294455008</v>
      </c>
      <c r="AJ111" s="5">
        <v>-0.47662745733429</v>
      </c>
      <c r="AK111" s="5">
        <v>0.47662745733429</v>
      </c>
      <c r="AL111" s="5">
        <v>0.459647294455008</v>
      </c>
      <c r="AM111" s="5">
        <v>9.90907137329749</v>
      </c>
      <c r="AN111" s="5">
        <v>-0.449718247791216</v>
      </c>
      <c r="AO111" s="5">
        <v>-1.58</v>
      </c>
      <c r="AP111" s="5">
        <v>39741.8973369129</v>
      </c>
      <c r="AQ111" s="5">
        <v>2.73920148528388</v>
      </c>
      <c r="AR111" s="5">
        <v>0</v>
      </c>
      <c r="AS111" s="5">
        <v>4.79453718407182</v>
      </c>
      <c r="AT111" s="5">
        <v>0</v>
      </c>
      <c r="AU111" s="5">
        <v>0</v>
      </c>
      <c r="AV111" s="5">
        <v>0</v>
      </c>
      <c r="AW111" s="5">
        <v>0</v>
      </c>
      <c r="AX111" s="5">
        <v>5.10652739484071</v>
      </c>
      <c r="AY111" s="5">
        <v>-7.69383775037793</v>
      </c>
      <c r="AZ111" s="5">
        <v>0.875</v>
      </c>
      <c r="BA111" s="5">
        <v>1</v>
      </c>
    </row>
    <row r="112" spans="1:53">
      <c r="A112" t="s">
        <v>53</v>
      </c>
      <c r="B112" t="s">
        <v>71</v>
      </c>
      <c r="C112" t="s">
        <v>55</v>
      </c>
      <c r="D112" s="4" t="s">
        <v>67</v>
      </c>
      <c r="E112">
        <v>0.10547</v>
      </c>
      <c r="F112">
        <v>6.7</v>
      </c>
      <c r="G112">
        <v>1</v>
      </c>
      <c r="H112">
        <v>17</v>
      </c>
      <c r="I112">
        <v>44</v>
      </c>
      <c r="J112">
        <v>36</v>
      </c>
      <c r="K112">
        <v>20</v>
      </c>
      <c r="L112" t="s">
        <v>57</v>
      </c>
      <c r="M112" t="s">
        <v>58</v>
      </c>
      <c r="N112" t="s">
        <v>85</v>
      </c>
      <c r="O112">
        <v>1.18313678172</v>
      </c>
      <c r="P112">
        <f t="shared" si="4"/>
        <v>11.2177565347492</v>
      </c>
      <c r="Q112">
        <f t="shared" si="3"/>
        <v>2.41749792776177</v>
      </c>
      <c r="R112">
        <v>150</v>
      </c>
      <c r="S112" t="s">
        <v>60</v>
      </c>
      <c r="T112" t="s">
        <v>61</v>
      </c>
      <c r="U112" t="s">
        <v>62</v>
      </c>
      <c r="V112">
        <v>1</v>
      </c>
      <c r="W112">
        <v>0</v>
      </c>
      <c r="X112">
        <v>1</v>
      </c>
      <c r="Y112">
        <v>1</v>
      </c>
      <c r="Z112">
        <v>0</v>
      </c>
      <c r="AA112">
        <v>0</v>
      </c>
      <c r="AB112">
        <v>1</v>
      </c>
      <c r="AC112">
        <v>0</v>
      </c>
      <c r="AD112">
        <v>1</v>
      </c>
      <c r="AE112" s="5">
        <v>13.0371419123205</v>
      </c>
      <c r="AF112" s="5">
        <v>7.66829457707096</v>
      </c>
      <c r="AG112" s="5">
        <v>0.402493807679921</v>
      </c>
      <c r="AH112" s="5">
        <v>16.8965517241379</v>
      </c>
      <c r="AI112" s="5">
        <v>0.459647294440031</v>
      </c>
      <c r="AJ112" s="5">
        <v>-0.280752999575314</v>
      </c>
      <c r="AK112" s="5">
        <v>0.459647294440031</v>
      </c>
      <c r="AL112" s="5">
        <v>0.280752999575314</v>
      </c>
      <c r="AM112" s="5">
        <v>9.90856544965598</v>
      </c>
      <c r="AN112" s="5">
        <v>-0.457885273814649</v>
      </c>
      <c r="AO112" s="5">
        <v>-1.28</v>
      </c>
      <c r="AP112" s="5">
        <v>176558.643253875</v>
      </c>
      <c r="AQ112" s="5">
        <v>3.26474212239717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4.55274987369036</v>
      </c>
      <c r="AY112" s="5">
        <v>-7.88274914441085</v>
      </c>
      <c r="AZ112" s="5">
        <v>1</v>
      </c>
      <c r="BA112" s="5">
        <v>1</v>
      </c>
    </row>
    <row r="113" spans="1:53">
      <c r="A113" t="s">
        <v>53</v>
      </c>
      <c r="B113" t="s">
        <v>71</v>
      </c>
      <c r="C113" t="s">
        <v>55</v>
      </c>
      <c r="D113" s="4" t="s">
        <v>68</v>
      </c>
      <c r="E113">
        <v>0.0351599999999999</v>
      </c>
      <c r="F113">
        <v>6.7</v>
      </c>
      <c r="G113">
        <v>1</v>
      </c>
      <c r="H113">
        <v>17</v>
      </c>
      <c r="I113">
        <v>44</v>
      </c>
      <c r="J113">
        <v>36</v>
      </c>
      <c r="K113">
        <v>20</v>
      </c>
      <c r="L113" t="s">
        <v>57</v>
      </c>
      <c r="M113" t="s">
        <v>58</v>
      </c>
      <c r="N113" t="s">
        <v>85</v>
      </c>
      <c r="O113">
        <v>0.78876143857</v>
      </c>
      <c r="P113">
        <f t="shared" si="4"/>
        <v>22.4334880139364</v>
      </c>
      <c r="Q113">
        <f t="shared" si="3"/>
        <v>3.11055484308226</v>
      </c>
      <c r="R113">
        <v>150</v>
      </c>
      <c r="S113" t="s">
        <v>60</v>
      </c>
      <c r="T113" t="s">
        <v>61</v>
      </c>
      <c r="U113" t="s">
        <v>62</v>
      </c>
      <c r="V113">
        <v>1</v>
      </c>
      <c r="W113">
        <v>0</v>
      </c>
      <c r="X113">
        <v>1</v>
      </c>
      <c r="Y113">
        <v>1</v>
      </c>
      <c r="Z113">
        <v>0</v>
      </c>
      <c r="AA113">
        <v>0</v>
      </c>
      <c r="AB113">
        <v>1</v>
      </c>
      <c r="AC113">
        <v>0</v>
      </c>
      <c r="AD113">
        <v>1</v>
      </c>
      <c r="AE113" s="5">
        <v>12.1252083333333</v>
      </c>
      <c r="AF113" s="5">
        <v>3.79034722222222</v>
      </c>
      <c r="AG113" s="5">
        <v>0.795108310685598</v>
      </c>
      <c r="AH113" s="5">
        <v>15.0625</v>
      </c>
      <c r="AI113" s="5">
        <v>0.459665733935349</v>
      </c>
      <c r="AJ113" s="5">
        <v>-0.476627440416371</v>
      </c>
      <c r="AK113" s="5">
        <v>0.476627440416371</v>
      </c>
      <c r="AL113" s="5">
        <v>0.459665733935349</v>
      </c>
      <c r="AM113" s="5">
        <v>10.044436145131</v>
      </c>
      <c r="AN113" s="5">
        <v>-0.389909625311938</v>
      </c>
      <c r="AO113" s="5">
        <v>-1.16</v>
      </c>
      <c r="AP113" s="5">
        <v>939.726830541714</v>
      </c>
      <c r="AQ113" s="5">
        <v>1.77550667912426</v>
      </c>
      <c r="AR113" s="5">
        <v>0</v>
      </c>
      <c r="AS113" s="5">
        <v>4.79453718407182</v>
      </c>
      <c r="AT113" s="5">
        <v>0</v>
      </c>
      <c r="AU113" s="5">
        <v>0</v>
      </c>
      <c r="AV113" s="5">
        <v>0</v>
      </c>
      <c r="AW113" s="5">
        <v>0</v>
      </c>
      <c r="AX113" s="5">
        <v>5.10652739484071</v>
      </c>
      <c r="AY113" s="5">
        <v>-7.00458333333333</v>
      </c>
      <c r="AZ113" s="5">
        <v>0.8</v>
      </c>
      <c r="BA113" s="5">
        <v>1</v>
      </c>
    </row>
    <row r="114" spans="1:53">
      <c r="A114" t="s">
        <v>53</v>
      </c>
      <c r="B114" t="s">
        <v>72</v>
      </c>
      <c r="C114" t="s">
        <v>55</v>
      </c>
      <c r="D114" s="4" t="s">
        <v>56</v>
      </c>
      <c r="E114">
        <v>0.855469</v>
      </c>
      <c r="F114">
        <v>6.7</v>
      </c>
      <c r="G114">
        <v>1</v>
      </c>
      <c r="H114">
        <v>17</v>
      </c>
      <c r="I114">
        <v>44</v>
      </c>
      <c r="J114">
        <v>36</v>
      </c>
      <c r="K114">
        <v>20</v>
      </c>
      <c r="L114" t="s">
        <v>57</v>
      </c>
      <c r="M114" t="s">
        <v>58</v>
      </c>
      <c r="N114" t="s">
        <v>85</v>
      </c>
      <c r="O114">
        <v>0.8971947962</v>
      </c>
      <c r="P114">
        <f t="shared" si="4"/>
        <v>1.04877534568757</v>
      </c>
      <c r="Q114">
        <f t="shared" si="3"/>
        <v>0.0476231460281741</v>
      </c>
      <c r="R114">
        <v>150</v>
      </c>
      <c r="S114" t="s">
        <v>60</v>
      </c>
      <c r="T114" t="s">
        <v>61</v>
      </c>
      <c r="U114" t="s">
        <v>62</v>
      </c>
      <c r="V114">
        <v>1</v>
      </c>
      <c r="W114">
        <v>0</v>
      </c>
      <c r="X114">
        <v>1</v>
      </c>
      <c r="Y114">
        <v>1</v>
      </c>
      <c r="Z114">
        <v>0</v>
      </c>
      <c r="AA114">
        <v>0</v>
      </c>
      <c r="AB114">
        <v>1</v>
      </c>
      <c r="AC114">
        <v>0</v>
      </c>
      <c r="AD114">
        <v>1</v>
      </c>
      <c r="AE114" s="5">
        <v>11.7505787037037</v>
      </c>
      <c r="AF114" s="5">
        <v>3.53256944444444</v>
      </c>
      <c r="AG114" s="5">
        <v>0.712441776552488</v>
      </c>
      <c r="AH114" s="5">
        <v>14.3846153846154</v>
      </c>
      <c r="AI114" s="5">
        <v>0.460094687009651</v>
      </c>
      <c r="AJ114" s="5">
        <v>-0.476625664235965</v>
      </c>
      <c r="AK114" s="5">
        <v>0.476625664235965</v>
      </c>
      <c r="AL114" s="5">
        <v>0.460094687009651</v>
      </c>
      <c r="AM114" s="5">
        <v>10.1473915373546</v>
      </c>
      <c r="AN114" s="5">
        <v>-0.347050241178715</v>
      </c>
      <c r="AO114" s="5">
        <v>-1.02</v>
      </c>
      <c r="AP114" s="5">
        <v>260.658615872357</v>
      </c>
      <c r="AQ114" s="5">
        <v>1.67669845728037</v>
      </c>
      <c r="AR114" s="5">
        <v>0</v>
      </c>
      <c r="AS114" s="5">
        <v>4.79453718407182</v>
      </c>
      <c r="AT114" s="5">
        <v>0</v>
      </c>
      <c r="AU114" s="5">
        <v>0</v>
      </c>
      <c r="AV114" s="5">
        <v>0</v>
      </c>
      <c r="AW114" s="5">
        <v>0</v>
      </c>
      <c r="AX114" s="5">
        <v>5.10652739484071</v>
      </c>
      <c r="AY114" s="5">
        <v>-6.60229166666667</v>
      </c>
      <c r="AZ114" s="5">
        <v>0.75</v>
      </c>
      <c r="BA114" s="5">
        <v>1</v>
      </c>
    </row>
    <row r="115" spans="1:53">
      <c r="A115" t="s">
        <v>53</v>
      </c>
      <c r="B115" t="s">
        <v>72</v>
      </c>
      <c r="C115" t="s">
        <v>55</v>
      </c>
      <c r="D115" s="4" t="s">
        <v>65</v>
      </c>
      <c r="E115">
        <v>0.0585899999999999</v>
      </c>
      <c r="F115">
        <v>6.7</v>
      </c>
      <c r="G115">
        <v>1</v>
      </c>
      <c r="H115">
        <v>17</v>
      </c>
      <c r="I115">
        <v>44</v>
      </c>
      <c r="J115">
        <v>36</v>
      </c>
      <c r="K115">
        <v>20</v>
      </c>
      <c r="L115" t="s">
        <v>57</v>
      </c>
      <c r="M115" t="s">
        <v>58</v>
      </c>
      <c r="N115" t="s">
        <v>85</v>
      </c>
      <c r="O115">
        <v>0.1884109814</v>
      </c>
      <c r="P115">
        <f t="shared" si="4"/>
        <v>3.21575322409968</v>
      </c>
      <c r="Q115">
        <f t="shared" si="3"/>
        <v>1.16806161457268</v>
      </c>
      <c r="R115">
        <v>150</v>
      </c>
      <c r="S115" t="s">
        <v>60</v>
      </c>
      <c r="T115" t="s">
        <v>61</v>
      </c>
      <c r="U115" t="s">
        <v>62</v>
      </c>
      <c r="V115">
        <v>1</v>
      </c>
      <c r="W115">
        <v>0</v>
      </c>
      <c r="X115">
        <v>1</v>
      </c>
      <c r="Y115">
        <v>1</v>
      </c>
      <c r="Z115">
        <v>0</v>
      </c>
      <c r="AA115">
        <v>0</v>
      </c>
      <c r="AB115">
        <v>1</v>
      </c>
      <c r="AC115">
        <v>0</v>
      </c>
      <c r="AD115">
        <v>1</v>
      </c>
      <c r="AE115" s="5">
        <v>12.6956944444444</v>
      </c>
      <c r="AF115" s="5">
        <v>7.51923752834467</v>
      </c>
      <c r="AG115" s="5">
        <v>0.567423483996869</v>
      </c>
      <c r="AH115" s="5">
        <v>16.6086956521739</v>
      </c>
      <c r="AI115" s="5">
        <v>0.459647303367286</v>
      </c>
      <c r="AJ115" s="5">
        <v>-0.280752999575136</v>
      </c>
      <c r="AK115" s="5">
        <v>0.459647303367286</v>
      </c>
      <c r="AL115" s="5">
        <v>0.280752999575136</v>
      </c>
      <c r="AM115" s="5">
        <v>9.97962409166519</v>
      </c>
      <c r="AN115" s="5">
        <v>-0.433260944725331</v>
      </c>
      <c r="AO115" s="5">
        <v>-1</v>
      </c>
      <c r="AP115" s="5">
        <v>14934.5346948423</v>
      </c>
      <c r="AQ115" s="5">
        <v>2.69882520469918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4.55274987369036</v>
      </c>
      <c r="AY115" s="5">
        <v>-7.5938637329932</v>
      </c>
      <c r="AZ115" s="5">
        <v>1</v>
      </c>
      <c r="BA115" s="5">
        <v>1</v>
      </c>
    </row>
    <row r="116" spans="1:53">
      <c r="A116" t="s">
        <v>53</v>
      </c>
      <c r="B116" t="s">
        <v>72</v>
      </c>
      <c r="C116" t="s">
        <v>55</v>
      </c>
      <c r="D116" s="4" t="s">
        <v>66</v>
      </c>
      <c r="E116">
        <v>0.31641</v>
      </c>
      <c r="F116">
        <v>6.7</v>
      </c>
      <c r="G116">
        <v>1</v>
      </c>
      <c r="H116">
        <v>17</v>
      </c>
      <c r="I116">
        <v>44</v>
      </c>
      <c r="J116">
        <v>36</v>
      </c>
      <c r="K116">
        <v>20</v>
      </c>
      <c r="L116" t="s">
        <v>57</v>
      </c>
      <c r="M116" t="s">
        <v>58</v>
      </c>
      <c r="N116" t="s">
        <v>85</v>
      </c>
      <c r="O116">
        <v>0.663923704</v>
      </c>
      <c r="P116">
        <f t="shared" si="4"/>
        <v>2.09830189943428</v>
      </c>
      <c r="Q116">
        <f t="shared" si="3"/>
        <v>0.741128398303417</v>
      </c>
      <c r="R116">
        <v>150</v>
      </c>
      <c r="S116" t="s">
        <v>60</v>
      </c>
      <c r="T116" t="s">
        <v>61</v>
      </c>
      <c r="U116" t="s">
        <v>62</v>
      </c>
      <c r="V116">
        <v>1</v>
      </c>
      <c r="W116">
        <v>0</v>
      </c>
      <c r="X116">
        <v>1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1</v>
      </c>
      <c r="AE116" s="5">
        <v>12.8254166666667</v>
      </c>
      <c r="AF116" s="5">
        <v>4.27882137345679</v>
      </c>
      <c r="AG116" s="5">
        <v>0.653062667189842</v>
      </c>
      <c r="AH116" s="5">
        <v>16.12</v>
      </c>
      <c r="AI116" s="5">
        <v>0.459647294455008</v>
      </c>
      <c r="AJ116" s="5">
        <v>-0.47662745733429</v>
      </c>
      <c r="AK116" s="5">
        <v>0.47662745733429</v>
      </c>
      <c r="AL116" s="5">
        <v>0.459647294455008</v>
      </c>
      <c r="AM116" s="5">
        <v>9.90907137329749</v>
      </c>
      <c r="AN116" s="5">
        <v>-0.449718247791216</v>
      </c>
      <c r="AO116" s="5">
        <v>-1.58</v>
      </c>
      <c r="AP116" s="5">
        <v>39741.8973369129</v>
      </c>
      <c r="AQ116" s="5">
        <v>2.73920148528388</v>
      </c>
      <c r="AR116" s="5">
        <v>0</v>
      </c>
      <c r="AS116" s="5">
        <v>4.79453718407182</v>
      </c>
      <c r="AT116" s="5">
        <v>0</v>
      </c>
      <c r="AU116" s="5">
        <v>0</v>
      </c>
      <c r="AV116" s="5">
        <v>0</v>
      </c>
      <c r="AW116" s="5">
        <v>0</v>
      </c>
      <c r="AX116" s="5">
        <v>5.10652739484071</v>
      </c>
      <c r="AY116" s="5">
        <v>-7.69383775037793</v>
      </c>
      <c r="AZ116" s="5">
        <v>0.875</v>
      </c>
      <c r="BA116" s="5">
        <v>1</v>
      </c>
    </row>
    <row r="117" spans="1:53">
      <c r="A117" t="s">
        <v>53</v>
      </c>
      <c r="B117" t="s">
        <v>72</v>
      </c>
      <c r="C117" t="s">
        <v>55</v>
      </c>
      <c r="D117" s="4" t="s">
        <v>67</v>
      </c>
      <c r="E117">
        <v>0.11718</v>
      </c>
      <c r="F117">
        <v>6.7</v>
      </c>
      <c r="G117">
        <v>1</v>
      </c>
      <c r="H117">
        <v>17</v>
      </c>
      <c r="I117">
        <v>44</v>
      </c>
      <c r="J117">
        <v>36</v>
      </c>
      <c r="K117">
        <v>20</v>
      </c>
      <c r="L117" t="s">
        <v>57</v>
      </c>
      <c r="M117" t="s">
        <v>58</v>
      </c>
      <c r="N117" t="s">
        <v>85</v>
      </c>
      <c r="O117">
        <v>0.9734555006</v>
      </c>
      <c r="P117">
        <f t="shared" si="4"/>
        <v>8.30735194231097</v>
      </c>
      <c r="Q117">
        <f t="shared" si="3"/>
        <v>2.11714089891638</v>
      </c>
      <c r="R117">
        <v>150</v>
      </c>
      <c r="S117" t="s">
        <v>60</v>
      </c>
      <c r="T117" t="s">
        <v>61</v>
      </c>
      <c r="U117" t="s">
        <v>62</v>
      </c>
      <c r="V117">
        <v>1</v>
      </c>
      <c r="W117">
        <v>0</v>
      </c>
      <c r="X117">
        <v>1</v>
      </c>
      <c r="Y117">
        <v>1</v>
      </c>
      <c r="Z117">
        <v>0</v>
      </c>
      <c r="AA117">
        <v>0</v>
      </c>
      <c r="AB117">
        <v>1</v>
      </c>
      <c r="AC117">
        <v>0</v>
      </c>
      <c r="AD117">
        <v>1</v>
      </c>
      <c r="AE117" s="5">
        <v>13.0371419123205</v>
      </c>
      <c r="AF117" s="5">
        <v>7.66829457707096</v>
      </c>
      <c r="AG117" s="5">
        <v>0.402493807679921</v>
      </c>
      <c r="AH117" s="5">
        <v>16.8965517241379</v>
      </c>
      <c r="AI117" s="5">
        <v>0.459647294440031</v>
      </c>
      <c r="AJ117" s="5">
        <v>-0.280752999575314</v>
      </c>
      <c r="AK117" s="5">
        <v>0.459647294440031</v>
      </c>
      <c r="AL117" s="5">
        <v>0.280752999575314</v>
      </c>
      <c r="AM117" s="5">
        <v>9.90856544965598</v>
      </c>
      <c r="AN117" s="5">
        <v>-0.457885273814649</v>
      </c>
      <c r="AO117" s="5">
        <v>-1.28</v>
      </c>
      <c r="AP117" s="5">
        <v>176558.643253875</v>
      </c>
      <c r="AQ117" s="5">
        <v>3.26474212239717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4.55274987369036</v>
      </c>
      <c r="AY117" s="5">
        <v>-7.88274914441085</v>
      </c>
      <c r="AZ117" s="5">
        <v>1</v>
      </c>
      <c r="BA117" s="5">
        <v>1</v>
      </c>
    </row>
    <row r="118" spans="1:53">
      <c r="A118" t="s">
        <v>53</v>
      </c>
      <c r="B118" t="s">
        <v>72</v>
      </c>
      <c r="C118" t="s">
        <v>55</v>
      </c>
      <c r="D118" s="4" t="s">
        <v>68</v>
      </c>
      <c r="E118">
        <v>0.0351599999999999</v>
      </c>
      <c r="F118">
        <v>6.7</v>
      </c>
      <c r="G118">
        <v>1</v>
      </c>
      <c r="H118">
        <v>17</v>
      </c>
      <c r="I118">
        <v>44</v>
      </c>
      <c r="J118">
        <v>36</v>
      </c>
      <c r="K118">
        <v>20</v>
      </c>
      <c r="L118" t="s">
        <v>57</v>
      </c>
      <c r="M118" t="s">
        <v>58</v>
      </c>
      <c r="N118" t="s">
        <v>85</v>
      </c>
      <c r="O118">
        <v>0.8074745746</v>
      </c>
      <c r="P118">
        <f t="shared" si="4"/>
        <v>22.9657160011377</v>
      </c>
      <c r="Q118">
        <f t="shared" si="3"/>
        <v>3.13400249522066</v>
      </c>
      <c r="R118">
        <v>150</v>
      </c>
      <c r="S118" t="s">
        <v>60</v>
      </c>
      <c r="T118" t="s">
        <v>61</v>
      </c>
      <c r="U118" t="s">
        <v>62</v>
      </c>
      <c r="V118">
        <v>1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1</v>
      </c>
      <c r="AC118">
        <v>0</v>
      </c>
      <c r="AD118">
        <v>1</v>
      </c>
      <c r="AE118" s="5">
        <v>12.1252083333333</v>
      </c>
      <c r="AF118" s="5">
        <v>3.79034722222222</v>
      </c>
      <c r="AG118" s="5">
        <v>0.795108310685598</v>
      </c>
      <c r="AH118" s="5">
        <v>15.0625</v>
      </c>
      <c r="AI118" s="5">
        <v>0.459665733935349</v>
      </c>
      <c r="AJ118" s="5">
        <v>-0.476627440416371</v>
      </c>
      <c r="AK118" s="5">
        <v>0.476627440416371</v>
      </c>
      <c r="AL118" s="5">
        <v>0.459665733935349</v>
      </c>
      <c r="AM118" s="5">
        <v>10.044436145131</v>
      </c>
      <c r="AN118" s="5">
        <v>-0.389909625311938</v>
      </c>
      <c r="AO118" s="5">
        <v>-1.16</v>
      </c>
      <c r="AP118" s="5">
        <v>939.726830541714</v>
      </c>
      <c r="AQ118" s="5">
        <v>1.77550667912426</v>
      </c>
      <c r="AR118" s="5">
        <v>0</v>
      </c>
      <c r="AS118" s="5">
        <v>4.79453718407182</v>
      </c>
      <c r="AT118" s="5">
        <v>0</v>
      </c>
      <c r="AU118" s="5">
        <v>0</v>
      </c>
      <c r="AV118" s="5">
        <v>0</v>
      </c>
      <c r="AW118" s="5">
        <v>0</v>
      </c>
      <c r="AX118" s="5">
        <v>5.10652739484071</v>
      </c>
      <c r="AY118" s="5">
        <v>-7.00458333333333</v>
      </c>
      <c r="AZ118" s="5">
        <v>0.8</v>
      </c>
      <c r="BA118" s="5">
        <v>1</v>
      </c>
    </row>
    <row r="119" spans="1:53">
      <c r="A119" t="s">
        <v>53</v>
      </c>
      <c r="B119" t="s">
        <v>73</v>
      </c>
      <c r="C119" t="s">
        <v>55</v>
      </c>
      <c r="D119" s="4" t="s">
        <v>63</v>
      </c>
      <c r="E119">
        <v>0.117187</v>
      </c>
      <c r="F119">
        <v>6.7</v>
      </c>
      <c r="G119">
        <v>1</v>
      </c>
      <c r="H119">
        <v>17</v>
      </c>
      <c r="I119">
        <v>44</v>
      </c>
      <c r="J119">
        <v>36</v>
      </c>
      <c r="K119">
        <v>20</v>
      </c>
      <c r="L119" t="s">
        <v>57</v>
      </c>
      <c r="M119" t="s">
        <v>58</v>
      </c>
      <c r="N119" t="s">
        <v>85</v>
      </c>
      <c r="O119">
        <v>0.1539679162</v>
      </c>
      <c r="P119">
        <f t="shared" si="4"/>
        <v>1.313865157398</v>
      </c>
      <c r="Q119">
        <f t="shared" si="3"/>
        <v>0.272973294855997</v>
      </c>
      <c r="R119">
        <v>150</v>
      </c>
      <c r="S119" t="s">
        <v>60</v>
      </c>
      <c r="T119" t="s">
        <v>61</v>
      </c>
      <c r="U119" t="s">
        <v>62</v>
      </c>
      <c r="V119">
        <v>1</v>
      </c>
      <c r="W119">
        <v>0</v>
      </c>
      <c r="X119">
        <v>1</v>
      </c>
      <c r="Y119">
        <v>1</v>
      </c>
      <c r="Z119">
        <v>0</v>
      </c>
      <c r="AA119">
        <v>0</v>
      </c>
      <c r="AB119">
        <v>1</v>
      </c>
      <c r="AC119">
        <v>0</v>
      </c>
      <c r="AD119">
        <v>1</v>
      </c>
      <c r="AE119" s="5">
        <v>12.2120833333333</v>
      </c>
      <c r="AF119" s="5">
        <v>7.00097222222222</v>
      </c>
      <c r="AG119" s="5">
        <v>0.642528075697275</v>
      </c>
      <c r="AH119" s="5">
        <v>16.1176470588235</v>
      </c>
      <c r="AI119" s="5">
        <v>0.459694901747447</v>
      </c>
      <c r="AJ119" s="5">
        <v>-0.280752981483328</v>
      </c>
      <c r="AK119" s="5">
        <v>0.459694901747447</v>
      </c>
      <c r="AL119" s="5">
        <v>0.280752981483328</v>
      </c>
      <c r="AM119" s="5">
        <v>10.1452721658031</v>
      </c>
      <c r="AN119" s="5">
        <v>-0.382289160206052</v>
      </c>
      <c r="AO119" s="5">
        <v>-0.72</v>
      </c>
      <c r="AP119" s="5">
        <v>1212.20967645111</v>
      </c>
      <c r="AQ119" s="5">
        <v>2.16502218725737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4.55274987369036</v>
      </c>
      <c r="AY119" s="5">
        <v>-7.13430555555556</v>
      </c>
      <c r="AZ119" s="5">
        <v>1</v>
      </c>
      <c r="BA119" s="5">
        <v>1</v>
      </c>
    </row>
    <row r="120" spans="1:53">
      <c r="A120" t="s">
        <v>53</v>
      </c>
      <c r="B120" t="s">
        <v>73</v>
      </c>
      <c r="C120" t="s">
        <v>55</v>
      </c>
      <c r="D120" s="4" t="s">
        <v>65</v>
      </c>
      <c r="E120">
        <v>0.058594</v>
      </c>
      <c r="F120">
        <v>6.7</v>
      </c>
      <c r="G120">
        <v>1</v>
      </c>
      <c r="H120">
        <v>17</v>
      </c>
      <c r="I120">
        <v>44</v>
      </c>
      <c r="J120">
        <v>36</v>
      </c>
      <c r="K120">
        <v>20</v>
      </c>
      <c r="L120" t="s">
        <v>57</v>
      </c>
      <c r="M120" t="s">
        <v>58</v>
      </c>
      <c r="N120" t="s">
        <v>85</v>
      </c>
      <c r="O120">
        <v>0.1099779492</v>
      </c>
      <c r="P120">
        <f t="shared" si="4"/>
        <v>1.8769489913643</v>
      </c>
      <c r="Q120">
        <f t="shared" si="3"/>
        <v>0.629647581616729</v>
      </c>
      <c r="R120">
        <v>150</v>
      </c>
      <c r="S120" t="s">
        <v>60</v>
      </c>
      <c r="T120" t="s">
        <v>61</v>
      </c>
      <c r="U120" t="s">
        <v>62</v>
      </c>
      <c r="V120">
        <v>1</v>
      </c>
      <c r="W120">
        <v>0</v>
      </c>
      <c r="X120">
        <v>1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1</v>
      </c>
      <c r="AE120" s="5">
        <v>12.6956944444444</v>
      </c>
      <c r="AF120" s="5">
        <v>7.51923752834467</v>
      </c>
      <c r="AG120" s="5">
        <v>0.567423483996869</v>
      </c>
      <c r="AH120" s="5">
        <v>16.6086956521739</v>
      </c>
      <c r="AI120" s="5">
        <v>0.459647303367286</v>
      </c>
      <c r="AJ120" s="5">
        <v>-0.280752999575136</v>
      </c>
      <c r="AK120" s="5">
        <v>0.459647303367286</v>
      </c>
      <c r="AL120" s="5">
        <v>0.280752999575136</v>
      </c>
      <c r="AM120" s="5">
        <v>9.97962409166519</v>
      </c>
      <c r="AN120" s="5">
        <v>-0.433260944725331</v>
      </c>
      <c r="AO120" s="5">
        <v>-1</v>
      </c>
      <c r="AP120" s="5">
        <v>14934.5346948423</v>
      </c>
      <c r="AQ120" s="5">
        <v>2.69882520469918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4.55274987369036</v>
      </c>
      <c r="AY120" s="5">
        <v>-7.5938637329932</v>
      </c>
      <c r="AZ120" s="5">
        <v>1</v>
      </c>
      <c r="BA120" s="5">
        <v>1</v>
      </c>
    </row>
    <row r="121" spans="1:53">
      <c r="A121" t="s">
        <v>53</v>
      </c>
      <c r="B121" t="s">
        <v>73</v>
      </c>
      <c r="C121" t="s">
        <v>55</v>
      </c>
      <c r="D121" s="4" t="s">
        <v>66</v>
      </c>
      <c r="E121">
        <v>0.64453</v>
      </c>
      <c r="F121">
        <v>6.7</v>
      </c>
      <c r="G121">
        <v>1</v>
      </c>
      <c r="H121">
        <v>17</v>
      </c>
      <c r="I121">
        <v>44</v>
      </c>
      <c r="J121">
        <v>36</v>
      </c>
      <c r="K121">
        <v>20</v>
      </c>
      <c r="L121" t="s">
        <v>57</v>
      </c>
      <c r="M121" t="s">
        <v>58</v>
      </c>
      <c r="N121" t="s">
        <v>85</v>
      </c>
      <c r="O121">
        <v>0.630532966</v>
      </c>
      <c r="P121">
        <f t="shared" si="4"/>
        <v>0.978283347555583</v>
      </c>
      <c r="Q121">
        <f t="shared" si="3"/>
        <v>-0.0219559294814914</v>
      </c>
      <c r="R121">
        <v>150</v>
      </c>
      <c r="S121" t="s">
        <v>60</v>
      </c>
      <c r="T121" t="s">
        <v>61</v>
      </c>
      <c r="U121" t="s">
        <v>62</v>
      </c>
      <c r="V121">
        <v>1</v>
      </c>
      <c r="W121">
        <v>0</v>
      </c>
      <c r="X121">
        <v>1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1</v>
      </c>
      <c r="AE121" s="5">
        <v>12.8254166666667</v>
      </c>
      <c r="AF121" s="5">
        <v>4.27882137345679</v>
      </c>
      <c r="AG121" s="5">
        <v>0.653062667189842</v>
      </c>
      <c r="AH121" s="5">
        <v>16.12</v>
      </c>
      <c r="AI121" s="5">
        <v>0.459647294455008</v>
      </c>
      <c r="AJ121" s="5">
        <v>-0.47662745733429</v>
      </c>
      <c r="AK121" s="5">
        <v>0.47662745733429</v>
      </c>
      <c r="AL121" s="5">
        <v>0.459647294455008</v>
      </c>
      <c r="AM121" s="5">
        <v>9.90907137329749</v>
      </c>
      <c r="AN121" s="5">
        <v>-0.449718247791216</v>
      </c>
      <c r="AO121" s="5">
        <v>-1.58</v>
      </c>
      <c r="AP121" s="5">
        <v>39741.8973369129</v>
      </c>
      <c r="AQ121" s="5">
        <v>2.73920148528388</v>
      </c>
      <c r="AR121" s="5">
        <v>0</v>
      </c>
      <c r="AS121" s="5">
        <v>4.79453718407182</v>
      </c>
      <c r="AT121" s="5">
        <v>0</v>
      </c>
      <c r="AU121" s="5">
        <v>0</v>
      </c>
      <c r="AV121" s="5">
        <v>0</v>
      </c>
      <c r="AW121" s="5">
        <v>0</v>
      </c>
      <c r="AX121" s="5">
        <v>5.10652739484071</v>
      </c>
      <c r="AY121" s="5">
        <v>-7.69383775037793</v>
      </c>
      <c r="AZ121" s="5">
        <v>0.875</v>
      </c>
      <c r="BA121" s="5">
        <v>1</v>
      </c>
    </row>
    <row r="122" spans="1:53">
      <c r="A122" t="s">
        <v>53</v>
      </c>
      <c r="B122" t="s">
        <v>73</v>
      </c>
      <c r="C122" t="s">
        <v>55</v>
      </c>
      <c r="D122" s="4" t="s">
        <v>67</v>
      </c>
      <c r="E122">
        <v>0.0234399999999999</v>
      </c>
      <c r="F122">
        <v>6.7</v>
      </c>
      <c r="G122">
        <v>1</v>
      </c>
      <c r="H122">
        <v>17</v>
      </c>
      <c r="I122">
        <v>44</v>
      </c>
      <c r="J122">
        <v>36</v>
      </c>
      <c r="K122">
        <v>20</v>
      </c>
      <c r="L122" t="s">
        <v>57</v>
      </c>
      <c r="M122" t="s">
        <v>58</v>
      </c>
      <c r="N122" t="s">
        <v>85</v>
      </c>
      <c r="O122">
        <v>1.1657583791</v>
      </c>
      <c r="P122">
        <f t="shared" si="4"/>
        <v>49.7337192448808</v>
      </c>
      <c r="Q122">
        <f t="shared" si="3"/>
        <v>3.90668315868701</v>
      </c>
      <c r="R122">
        <v>150</v>
      </c>
      <c r="S122" t="s">
        <v>60</v>
      </c>
      <c r="T122" t="s">
        <v>61</v>
      </c>
      <c r="U122" t="s">
        <v>62</v>
      </c>
      <c r="V122">
        <v>1</v>
      </c>
      <c r="W122">
        <v>0</v>
      </c>
      <c r="X122">
        <v>1</v>
      </c>
      <c r="Y122">
        <v>1</v>
      </c>
      <c r="Z122">
        <v>0</v>
      </c>
      <c r="AA122">
        <v>0</v>
      </c>
      <c r="AB122">
        <v>1</v>
      </c>
      <c r="AC122">
        <v>0</v>
      </c>
      <c r="AD122">
        <v>1</v>
      </c>
      <c r="AE122" s="5">
        <v>13.0371419123205</v>
      </c>
      <c r="AF122" s="5">
        <v>7.66829457707096</v>
      </c>
      <c r="AG122" s="5">
        <v>0.402493807679921</v>
      </c>
      <c r="AH122" s="5">
        <v>16.8965517241379</v>
      </c>
      <c r="AI122" s="5">
        <v>0.459647294440031</v>
      </c>
      <c r="AJ122" s="5">
        <v>-0.280752999575314</v>
      </c>
      <c r="AK122" s="5">
        <v>0.459647294440031</v>
      </c>
      <c r="AL122" s="5">
        <v>0.280752999575314</v>
      </c>
      <c r="AM122" s="5">
        <v>9.90856544965598</v>
      </c>
      <c r="AN122" s="5">
        <v>-0.457885273814649</v>
      </c>
      <c r="AO122" s="5">
        <v>-1.28</v>
      </c>
      <c r="AP122" s="5">
        <v>176558.643253875</v>
      </c>
      <c r="AQ122" s="5">
        <v>3.26474212239717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4.55274987369036</v>
      </c>
      <c r="AY122" s="5">
        <v>-7.88274914441085</v>
      </c>
      <c r="AZ122" s="5">
        <v>1</v>
      </c>
      <c r="BA122" s="5">
        <v>1</v>
      </c>
    </row>
    <row r="123" spans="1:53">
      <c r="A123" t="s">
        <v>53</v>
      </c>
      <c r="B123" t="s">
        <v>74</v>
      </c>
      <c r="C123" t="s">
        <v>55</v>
      </c>
      <c r="D123" s="4" t="s">
        <v>63</v>
      </c>
      <c r="E123">
        <v>0.175782</v>
      </c>
      <c r="F123">
        <v>6.7</v>
      </c>
      <c r="G123">
        <v>1</v>
      </c>
      <c r="H123">
        <v>17</v>
      </c>
      <c r="I123">
        <v>44</v>
      </c>
      <c r="J123">
        <v>36</v>
      </c>
      <c r="K123">
        <v>20</v>
      </c>
      <c r="L123" t="s">
        <v>57</v>
      </c>
      <c r="M123" t="s">
        <v>58</v>
      </c>
      <c r="N123" t="s">
        <v>85</v>
      </c>
      <c r="O123">
        <v>0.1455933048</v>
      </c>
      <c r="P123">
        <f t="shared" ref="P123:P164" si="5">O123/E123</f>
        <v>0.82826060006144</v>
      </c>
      <c r="Q123">
        <f t="shared" si="3"/>
        <v>-0.188427439741631</v>
      </c>
      <c r="R123">
        <v>150</v>
      </c>
      <c r="S123" t="s">
        <v>60</v>
      </c>
      <c r="T123" t="s">
        <v>61</v>
      </c>
      <c r="U123" t="s">
        <v>62</v>
      </c>
      <c r="V123">
        <v>1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1</v>
      </c>
      <c r="AC123">
        <v>0</v>
      </c>
      <c r="AD123">
        <v>1</v>
      </c>
      <c r="AE123" s="5">
        <v>12.2120833333333</v>
      </c>
      <c r="AF123" s="5">
        <v>7.00097222222222</v>
      </c>
      <c r="AG123" s="5">
        <v>0.642528075697275</v>
      </c>
      <c r="AH123" s="5">
        <v>16.1176470588235</v>
      </c>
      <c r="AI123" s="5">
        <v>0.459694901747447</v>
      </c>
      <c r="AJ123" s="5">
        <v>-0.280752981483328</v>
      </c>
      <c r="AK123" s="5">
        <v>0.459694901747447</v>
      </c>
      <c r="AL123" s="5">
        <v>0.280752981483328</v>
      </c>
      <c r="AM123" s="5">
        <v>10.1452721658031</v>
      </c>
      <c r="AN123" s="5">
        <v>-0.382289160206052</v>
      </c>
      <c r="AO123" s="5">
        <v>-0.72</v>
      </c>
      <c r="AP123" s="5">
        <v>1212.20967645111</v>
      </c>
      <c r="AQ123" s="5">
        <v>2.16502218725737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4.55274987369036</v>
      </c>
      <c r="AY123" s="5">
        <v>-7.13430555555556</v>
      </c>
      <c r="AZ123" s="5">
        <v>1</v>
      </c>
      <c r="BA123" s="5">
        <v>1</v>
      </c>
    </row>
    <row r="124" spans="1:53">
      <c r="A124" t="s">
        <v>53</v>
      </c>
      <c r="B124" t="s">
        <v>74</v>
      </c>
      <c r="C124" t="s">
        <v>55</v>
      </c>
      <c r="D124" s="4" t="s">
        <v>64</v>
      </c>
      <c r="E124">
        <v>0.023437</v>
      </c>
      <c r="F124">
        <v>6.7</v>
      </c>
      <c r="G124">
        <v>1</v>
      </c>
      <c r="H124">
        <v>17</v>
      </c>
      <c r="I124">
        <v>44</v>
      </c>
      <c r="J124">
        <v>36</v>
      </c>
      <c r="K124">
        <v>20</v>
      </c>
      <c r="L124" t="s">
        <v>57</v>
      </c>
      <c r="M124" t="s">
        <v>58</v>
      </c>
      <c r="N124" t="s">
        <v>85</v>
      </c>
      <c r="O124">
        <v>0.1559940552</v>
      </c>
      <c r="P124">
        <f t="shared" si="5"/>
        <v>6.65588834748475</v>
      </c>
      <c r="Q124">
        <f t="shared" si="3"/>
        <v>1.89550192866138</v>
      </c>
      <c r="R124">
        <v>150</v>
      </c>
      <c r="S124" t="s">
        <v>60</v>
      </c>
      <c r="T124" t="s">
        <v>61</v>
      </c>
      <c r="U124" t="s">
        <v>62</v>
      </c>
      <c r="V124">
        <v>1</v>
      </c>
      <c r="W124">
        <v>0</v>
      </c>
      <c r="X124">
        <v>1</v>
      </c>
      <c r="Y124">
        <v>1</v>
      </c>
      <c r="Z124">
        <v>0</v>
      </c>
      <c r="AA124">
        <v>0</v>
      </c>
      <c r="AB124">
        <v>1</v>
      </c>
      <c r="AC124">
        <v>0</v>
      </c>
      <c r="AD124">
        <v>1</v>
      </c>
      <c r="AE124" s="5">
        <v>12.3952083333333</v>
      </c>
      <c r="AF124" s="5">
        <v>3.99060232426304</v>
      </c>
      <c r="AG124" s="5">
        <v>0.809418673219238</v>
      </c>
      <c r="AH124" s="5">
        <v>15.5263157894737</v>
      </c>
      <c r="AI124" s="5">
        <v>0.459647654411774</v>
      </c>
      <c r="AJ124" s="5">
        <v>-0.476627457257861</v>
      </c>
      <c r="AK124" s="5">
        <v>0.476627457257861</v>
      </c>
      <c r="AL124" s="5">
        <v>0.459647654411774</v>
      </c>
      <c r="AM124" s="5">
        <v>9.98060231888395</v>
      </c>
      <c r="AN124" s="5">
        <v>-0.417658943556199</v>
      </c>
      <c r="AO124" s="5">
        <v>-1.3</v>
      </c>
      <c r="AP124" s="5">
        <v>3314.44680161703</v>
      </c>
      <c r="AQ124" s="5">
        <v>2.17852386673025</v>
      </c>
      <c r="AR124" s="5">
        <v>0</v>
      </c>
      <c r="AS124" s="5">
        <v>4.79453718407182</v>
      </c>
      <c r="AT124" s="5">
        <v>0</v>
      </c>
      <c r="AU124" s="5">
        <v>0</v>
      </c>
      <c r="AV124" s="5">
        <v>0</v>
      </c>
      <c r="AW124" s="5">
        <v>0</v>
      </c>
      <c r="AX124" s="5">
        <v>5.10652739484071</v>
      </c>
      <c r="AY124" s="5">
        <v>-7.29710978835979</v>
      </c>
      <c r="AZ124" s="5">
        <v>0.833333333333333</v>
      </c>
      <c r="BA124" s="5">
        <v>1</v>
      </c>
    </row>
    <row r="125" spans="1:53">
      <c r="A125" t="s">
        <v>53</v>
      </c>
      <c r="B125" t="s">
        <v>74</v>
      </c>
      <c r="C125" t="s">
        <v>55</v>
      </c>
      <c r="D125" s="4" t="s">
        <v>65</v>
      </c>
      <c r="E125">
        <v>0.11719</v>
      </c>
      <c r="F125">
        <v>6.7</v>
      </c>
      <c r="G125">
        <v>1</v>
      </c>
      <c r="H125">
        <v>17</v>
      </c>
      <c r="I125">
        <v>44</v>
      </c>
      <c r="J125">
        <v>36</v>
      </c>
      <c r="K125">
        <v>20</v>
      </c>
      <c r="L125" t="s">
        <v>57</v>
      </c>
      <c r="M125" t="s">
        <v>58</v>
      </c>
      <c r="N125" t="s">
        <v>85</v>
      </c>
      <c r="O125">
        <v>0.1559911884</v>
      </c>
      <c r="P125">
        <f t="shared" si="5"/>
        <v>1.33109641095657</v>
      </c>
      <c r="Q125">
        <f t="shared" si="3"/>
        <v>0.286002971768326</v>
      </c>
      <c r="R125">
        <v>150</v>
      </c>
      <c r="S125" t="s">
        <v>60</v>
      </c>
      <c r="T125" t="s">
        <v>61</v>
      </c>
      <c r="U125" t="s">
        <v>62</v>
      </c>
      <c r="V125">
        <v>1</v>
      </c>
      <c r="W125">
        <v>0</v>
      </c>
      <c r="X125">
        <v>1</v>
      </c>
      <c r="Y125">
        <v>1</v>
      </c>
      <c r="Z125">
        <v>0</v>
      </c>
      <c r="AA125">
        <v>0</v>
      </c>
      <c r="AB125">
        <v>1</v>
      </c>
      <c r="AC125">
        <v>0</v>
      </c>
      <c r="AD125">
        <v>1</v>
      </c>
      <c r="AE125" s="5">
        <v>12.6956944444444</v>
      </c>
      <c r="AF125" s="5">
        <v>7.51923752834467</v>
      </c>
      <c r="AG125" s="5">
        <v>0.567423483996869</v>
      </c>
      <c r="AH125" s="5">
        <v>16.6086956521739</v>
      </c>
      <c r="AI125" s="5">
        <v>0.459647303367286</v>
      </c>
      <c r="AJ125" s="5">
        <v>-0.280752999575136</v>
      </c>
      <c r="AK125" s="5">
        <v>0.459647303367286</v>
      </c>
      <c r="AL125" s="5">
        <v>0.280752999575136</v>
      </c>
      <c r="AM125" s="5">
        <v>9.97962409166519</v>
      </c>
      <c r="AN125" s="5">
        <v>-0.433260944725331</v>
      </c>
      <c r="AO125" s="5">
        <v>-1</v>
      </c>
      <c r="AP125" s="5">
        <v>14934.5346948423</v>
      </c>
      <c r="AQ125" s="5">
        <v>2.69882520469918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4.55274987369036</v>
      </c>
      <c r="AY125" s="5">
        <v>-7.5938637329932</v>
      </c>
      <c r="AZ125" s="5">
        <v>1</v>
      </c>
      <c r="BA125" s="5">
        <v>1</v>
      </c>
    </row>
    <row r="126" spans="1:53">
      <c r="A126" t="s">
        <v>53</v>
      </c>
      <c r="B126" t="s">
        <v>74</v>
      </c>
      <c r="C126" t="s">
        <v>55</v>
      </c>
      <c r="D126" s="4" t="s">
        <v>66</v>
      </c>
      <c r="E126">
        <v>0.29297</v>
      </c>
      <c r="F126">
        <v>6.7</v>
      </c>
      <c r="G126">
        <v>1</v>
      </c>
      <c r="H126">
        <v>17</v>
      </c>
      <c r="I126">
        <v>44</v>
      </c>
      <c r="J126">
        <v>36</v>
      </c>
      <c r="K126">
        <v>20</v>
      </c>
      <c r="L126" t="s">
        <v>57</v>
      </c>
      <c r="M126" t="s">
        <v>58</v>
      </c>
      <c r="N126" t="s">
        <v>85</v>
      </c>
      <c r="O126">
        <v>0.6239704872</v>
      </c>
      <c r="P126">
        <f t="shared" si="5"/>
        <v>2.12981017578592</v>
      </c>
      <c r="Q126">
        <f t="shared" si="3"/>
        <v>0.756032856400634</v>
      </c>
      <c r="R126">
        <v>150</v>
      </c>
      <c r="S126" t="s">
        <v>60</v>
      </c>
      <c r="T126" t="s">
        <v>61</v>
      </c>
      <c r="U126" t="s">
        <v>62</v>
      </c>
      <c r="V126">
        <v>1</v>
      </c>
      <c r="W126">
        <v>0</v>
      </c>
      <c r="X126">
        <v>1</v>
      </c>
      <c r="Y126">
        <v>1</v>
      </c>
      <c r="Z126">
        <v>0</v>
      </c>
      <c r="AA126">
        <v>0</v>
      </c>
      <c r="AB126">
        <v>1</v>
      </c>
      <c r="AC126">
        <v>0</v>
      </c>
      <c r="AD126">
        <v>1</v>
      </c>
      <c r="AE126" s="5">
        <v>12.8254166666667</v>
      </c>
      <c r="AF126" s="5">
        <v>4.27882137345679</v>
      </c>
      <c r="AG126" s="5">
        <v>0.653062667189842</v>
      </c>
      <c r="AH126" s="5">
        <v>16.12</v>
      </c>
      <c r="AI126" s="5">
        <v>0.459647294455008</v>
      </c>
      <c r="AJ126" s="5">
        <v>-0.47662745733429</v>
      </c>
      <c r="AK126" s="5">
        <v>0.47662745733429</v>
      </c>
      <c r="AL126" s="5">
        <v>0.459647294455008</v>
      </c>
      <c r="AM126" s="5">
        <v>9.90907137329749</v>
      </c>
      <c r="AN126" s="5">
        <v>-0.449718247791216</v>
      </c>
      <c r="AO126" s="5">
        <v>-1.58</v>
      </c>
      <c r="AP126" s="5">
        <v>39741.8973369129</v>
      </c>
      <c r="AQ126" s="5">
        <v>2.73920148528388</v>
      </c>
      <c r="AR126" s="5">
        <v>0</v>
      </c>
      <c r="AS126" s="5">
        <v>4.79453718407182</v>
      </c>
      <c r="AT126" s="5">
        <v>0</v>
      </c>
      <c r="AU126" s="5">
        <v>0</v>
      </c>
      <c r="AV126" s="5">
        <v>0</v>
      </c>
      <c r="AW126" s="5">
        <v>0</v>
      </c>
      <c r="AX126" s="5">
        <v>5.10652739484071</v>
      </c>
      <c r="AY126" s="5">
        <v>-7.69383775037793</v>
      </c>
      <c r="AZ126" s="5">
        <v>0.875</v>
      </c>
      <c r="BA126" s="5">
        <v>1</v>
      </c>
    </row>
    <row r="127" spans="1:53">
      <c r="A127" t="s">
        <v>53</v>
      </c>
      <c r="B127" t="s">
        <v>74</v>
      </c>
      <c r="C127" t="s">
        <v>55</v>
      </c>
      <c r="D127" s="4" t="s">
        <v>67</v>
      </c>
      <c r="E127">
        <v>0.0586</v>
      </c>
      <c r="F127">
        <v>6.7</v>
      </c>
      <c r="G127">
        <v>1</v>
      </c>
      <c r="H127">
        <v>17</v>
      </c>
      <c r="I127">
        <v>44</v>
      </c>
      <c r="J127">
        <v>36</v>
      </c>
      <c r="K127">
        <v>20</v>
      </c>
      <c r="L127" t="s">
        <v>57</v>
      </c>
      <c r="M127" t="s">
        <v>58</v>
      </c>
      <c r="N127" t="s">
        <v>85</v>
      </c>
      <c r="O127">
        <v>2.1492342264</v>
      </c>
      <c r="P127">
        <f t="shared" si="5"/>
        <v>36.6763519863481</v>
      </c>
      <c r="Q127">
        <f t="shared" si="3"/>
        <v>3.60213218732636</v>
      </c>
      <c r="R127">
        <v>150</v>
      </c>
      <c r="S127" t="s">
        <v>60</v>
      </c>
      <c r="T127" t="s">
        <v>61</v>
      </c>
      <c r="U127" t="s">
        <v>62</v>
      </c>
      <c r="V127">
        <v>1</v>
      </c>
      <c r="W127">
        <v>0</v>
      </c>
      <c r="X127">
        <v>1</v>
      </c>
      <c r="Y127">
        <v>1</v>
      </c>
      <c r="Z127">
        <v>0</v>
      </c>
      <c r="AA127">
        <v>0</v>
      </c>
      <c r="AB127">
        <v>1</v>
      </c>
      <c r="AC127">
        <v>0</v>
      </c>
      <c r="AD127">
        <v>1</v>
      </c>
      <c r="AE127" s="5">
        <v>13.0371419123205</v>
      </c>
      <c r="AF127" s="5">
        <v>7.66829457707096</v>
      </c>
      <c r="AG127" s="5">
        <v>0.402493807679921</v>
      </c>
      <c r="AH127" s="5">
        <v>16.8965517241379</v>
      </c>
      <c r="AI127" s="5">
        <v>0.459647294440031</v>
      </c>
      <c r="AJ127" s="5">
        <v>-0.280752999575314</v>
      </c>
      <c r="AK127" s="5">
        <v>0.459647294440031</v>
      </c>
      <c r="AL127" s="5">
        <v>0.280752999575314</v>
      </c>
      <c r="AM127" s="5">
        <v>9.90856544965598</v>
      </c>
      <c r="AN127" s="5">
        <v>-0.457885273814649</v>
      </c>
      <c r="AO127" s="5">
        <v>-1.28</v>
      </c>
      <c r="AP127" s="5">
        <v>176558.643253875</v>
      </c>
      <c r="AQ127" s="5">
        <v>3.26474212239717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4.55274987369036</v>
      </c>
      <c r="AY127" s="5">
        <v>-7.88274914441085</v>
      </c>
      <c r="AZ127" s="5">
        <v>1</v>
      </c>
      <c r="BA127" s="5">
        <v>1</v>
      </c>
    </row>
    <row r="128" spans="1:53">
      <c r="A128" t="s">
        <v>53</v>
      </c>
      <c r="B128" t="s">
        <v>74</v>
      </c>
      <c r="C128" t="s">
        <v>55</v>
      </c>
      <c r="D128" s="4" t="s">
        <v>68</v>
      </c>
      <c r="E128">
        <v>0.0234299999999998</v>
      </c>
      <c r="F128">
        <v>6.7</v>
      </c>
      <c r="G128">
        <v>1</v>
      </c>
      <c r="H128">
        <v>17</v>
      </c>
      <c r="I128">
        <v>44</v>
      </c>
      <c r="J128">
        <v>36</v>
      </c>
      <c r="K128">
        <v>20</v>
      </c>
      <c r="L128" t="s">
        <v>57</v>
      </c>
      <c r="M128" t="s">
        <v>58</v>
      </c>
      <c r="N128" t="s">
        <v>85</v>
      </c>
      <c r="O128">
        <v>0.7175657736</v>
      </c>
      <c r="P128">
        <f t="shared" si="5"/>
        <v>30.6259399743921</v>
      </c>
      <c r="Q128">
        <f t="shared" si="3"/>
        <v>3.42184736143524</v>
      </c>
      <c r="R128">
        <v>150</v>
      </c>
      <c r="S128" t="s">
        <v>60</v>
      </c>
      <c r="T128" t="s">
        <v>61</v>
      </c>
      <c r="U128" t="s">
        <v>62</v>
      </c>
      <c r="V128">
        <v>1</v>
      </c>
      <c r="W128">
        <v>0</v>
      </c>
      <c r="X128">
        <v>1</v>
      </c>
      <c r="Y128">
        <v>1</v>
      </c>
      <c r="Z128">
        <v>0</v>
      </c>
      <c r="AA128">
        <v>0</v>
      </c>
      <c r="AB128">
        <v>1</v>
      </c>
      <c r="AC128">
        <v>0</v>
      </c>
      <c r="AD128">
        <v>1</v>
      </c>
      <c r="AE128" s="5">
        <v>12.1252083333333</v>
      </c>
      <c r="AF128" s="5">
        <v>3.79034722222222</v>
      </c>
      <c r="AG128" s="5">
        <v>0.795108310685598</v>
      </c>
      <c r="AH128" s="5">
        <v>15.0625</v>
      </c>
      <c r="AI128" s="5">
        <v>0.459665733935349</v>
      </c>
      <c r="AJ128" s="5">
        <v>-0.476627440416371</v>
      </c>
      <c r="AK128" s="5">
        <v>0.476627440416371</v>
      </c>
      <c r="AL128" s="5">
        <v>0.459665733935349</v>
      </c>
      <c r="AM128" s="5">
        <v>10.044436145131</v>
      </c>
      <c r="AN128" s="5">
        <v>-0.389909625311938</v>
      </c>
      <c r="AO128" s="5">
        <v>-1.16</v>
      </c>
      <c r="AP128" s="5">
        <v>939.726830541714</v>
      </c>
      <c r="AQ128" s="5">
        <v>1.77550667912426</v>
      </c>
      <c r="AR128" s="5">
        <v>0</v>
      </c>
      <c r="AS128" s="5">
        <v>4.79453718407182</v>
      </c>
      <c r="AT128" s="5">
        <v>0</v>
      </c>
      <c r="AU128" s="5">
        <v>0</v>
      </c>
      <c r="AV128" s="5">
        <v>0</v>
      </c>
      <c r="AW128" s="5">
        <v>0</v>
      </c>
      <c r="AX128" s="5">
        <v>5.10652739484071</v>
      </c>
      <c r="AY128" s="5">
        <v>-7.00458333333333</v>
      </c>
      <c r="AZ128" s="5">
        <v>0.8</v>
      </c>
      <c r="BA128" s="5">
        <v>1</v>
      </c>
    </row>
    <row r="129" spans="1:53">
      <c r="A129" t="s">
        <v>53</v>
      </c>
      <c r="B129" t="s">
        <v>75</v>
      </c>
      <c r="C129" t="s">
        <v>55</v>
      </c>
      <c r="D129" s="4" t="s">
        <v>56</v>
      </c>
      <c r="E129">
        <v>0.796875</v>
      </c>
      <c r="F129">
        <v>6.7</v>
      </c>
      <c r="G129">
        <v>1</v>
      </c>
      <c r="H129">
        <v>17</v>
      </c>
      <c r="I129">
        <v>44</v>
      </c>
      <c r="J129">
        <v>36</v>
      </c>
      <c r="K129">
        <v>20</v>
      </c>
      <c r="L129" t="s">
        <v>57</v>
      </c>
      <c r="M129" t="s">
        <v>58</v>
      </c>
      <c r="N129" t="s">
        <v>85</v>
      </c>
      <c r="O129">
        <v>0.059669915818</v>
      </c>
      <c r="P129">
        <f t="shared" si="5"/>
        <v>0.0748798943598431</v>
      </c>
      <c r="Q129">
        <f t="shared" si="3"/>
        <v>-2.59186985760649</v>
      </c>
      <c r="R129">
        <v>150</v>
      </c>
      <c r="S129" t="s">
        <v>60</v>
      </c>
      <c r="T129" t="s">
        <v>61</v>
      </c>
      <c r="U129" t="s">
        <v>62</v>
      </c>
      <c r="V129">
        <v>1</v>
      </c>
      <c r="W129">
        <v>0</v>
      </c>
      <c r="X129">
        <v>1</v>
      </c>
      <c r="Y129">
        <v>1</v>
      </c>
      <c r="Z129">
        <v>0</v>
      </c>
      <c r="AA129">
        <v>0</v>
      </c>
      <c r="AB129">
        <v>1</v>
      </c>
      <c r="AC129">
        <v>0</v>
      </c>
      <c r="AD129">
        <v>1</v>
      </c>
      <c r="AE129" s="5">
        <v>11.7505787037037</v>
      </c>
      <c r="AF129" s="5">
        <v>3.53256944444444</v>
      </c>
      <c r="AG129" s="5">
        <v>0.712441776552488</v>
      </c>
      <c r="AH129" s="5">
        <v>14.3846153846154</v>
      </c>
      <c r="AI129" s="5">
        <v>0.460094687009651</v>
      </c>
      <c r="AJ129" s="5">
        <v>-0.476625664235965</v>
      </c>
      <c r="AK129" s="5">
        <v>0.476625664235965</v>
      </c>
      <c r="AL129" s="5">
        <v>0.460094687009651</v>
      </c>
      <c r="AM129" s="5">
        <v>10.1473915373546</v>
      </c>
      <c r="AN129" s="5">
        <v>-0.347050241178715</v>
      </c>
      <c r="AO129" s="5">
        <v>-1.02</v>
      </c>
      <c r="AP129" s="5">
        <v>260.658615872357</v>
      </c>
      <c r="AQ129" s="5">
        <v>1.67669845728037</v>
      </c>
      <c r="AR129" s="5">
        <v>0</v>
      </c>
      <c r="AS129" s="5">
        <v>4.79453718407182</v>
      </c>
      <c r="AT129" s="5">
        <v>0</v>
      </c>
      <c r="AU129" s="5">
        <v>0</v>
      </c>
      <c r="AV129" s="5">
        <v>0</v>
      </c>
      <c r="AW129" s="5">
        <v>0</v>
      </c>
      <c r="AX129" s="5">
        <v>5.10652739484071</v>
      </c>
      <c r="AY129" s="5">
        <v>-6.60229166666667</v>
      </c>
      <c r="AZ129" s="5">
        <v>0.75</v>
      </c>
      <c r="BA129" s="5">
        <v>1</v>
      </c>
    </row>
    <row r="130" spans="1:53">
      <c r="A130" t="s">
        <v>53</v>
      </c>
      <c r="B130" t="s">
        <v>75</v>
      </c>
      <c r="C130" t="s">
        <v>55</v>
      </c>
      <c r="D130" s="4" t="s">
        <v>63</v>
      </c>
      <c r="E130">
        <v>0.257815</v>
      </c>
      <c r="F130">
        <v>6.7</v>
      </c>
      <c r="G130">
        <v>1</v>
      </c>
      <c r="H130">
        <v>17</v>
      </c>
      <c r="I130">
        <v>44</v>
      </c>
      <c r="J130">
        <v>36</v>
      </c>
      <c r="K130">
        <v>20</v>
      </c>
      <c r="L130" t="s">
        <v>57</v>
      </c>
      <c r="M130" t="s">
        <v>58</v>
      </c>
      <c r="N130" t="s">
        <v>85</v>
      </c>
      <c r="O130">
        <v>0.198900267695</v>
      </c>
      <c r="P130">
        <f t="shared" si="5"/>
        <v>0.771484466361538</v>
      </c>
      <c r="Q130">
        <f t="shared" si="3"/>
        <v>-0.259438741715336</v>
      </c>
      <c r="R130">
        <v>150</v>
      </c>
      <c r="S130" t="s">
        <v>60</v>
      </c>
      <c r="T130" t="s">
        <v>61</v>
      </c>
      <c r="U130" t="s">
        <v>62</v>
      </c>
      <c r="V130">
        <v>1</v>
      </c>
      <c r="W130">
        <v>0</v>
      </c>
      <c r="X130">
        <v>1</v>
      </c>
      <c r="Y130">
        <v>1</v>
      </c>
      <c r="Z130">
        <v>0</v>
      </c>
      <c r="AA130">
        <v>0</v>
      </c>
      <c r="AB130">
        <v>1</v>
      </c>
      <c r="AC130">
        <v>0</v>
      </c>
      <c r="AD130">
        <v>1</v>
      </c>
      <c r="AE130" s="5">
        <v>12.2120833333333</v>
      </c>
      <c r="AF130" s="5">
        <v>7.00097222222222</v>
      </c>
      <c r="AG130" s="5">
        <v>0.642528075697275</v>
      </c>
      <c r="AH130" s="5">
        <v>16.1176470588235</v>
      </c>
      <c r="AI130" s="5">
        <v>0.459694901747447</v>
      </c>
      <c r="AJ130" s="5">
        <v>-0.280752981483328</v>
      </c>
      <c r="AK130" s="5">
        <v>0.459694901747447</v>
      </c>
      <c r="AL130" s="5">
        <v>0.280752981483328</v>
      </c>
      <c r="AM130" s="5">
        <v>10.1452721658031</v>
      </c>
      <c r="AN130" s="5">
        <v>-0.382289160206052</v>
      </c>
      <c r="AO130" s="5">
        <v>-0.72</v>
      </c>
      <c r="AP130" s="5">
        <v>1212.20967645111</v>
      </c>
      <c r="AQ130" s="5">
        <v>2.16502218725737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4.55274987369036</v>
      </c>
      <c r="AY130" s="5">
        <v>-7.13430555555556</v>
      </c>
      <c r="AZ130" s="5">
        <v>1</v>
      </c>
      <c r="BA130" s="5">
        <v>1</v>
      </c>
    </row>
    <row r="131" spans="1:53">
      <c r="A131" t="s">
        <v>53</v>
      </c>
      <c r="B131" t="s">
        <v>75</v>
      </c>
      <c r="C131" t="s">
        <v>55</v>
      </c>
      <c r="D131" s="4" t="s">
        <v>64</v>
      </c>
      <c r="E131">
        <v>0.0234400000000001</v>
      </c>
      <c r="F131">
        <v>6.7</v>
      </c>
      <c r="G131">
        <v>1</v>
      </c>
      <c r="H131">
        <v>17</v>
      </c>
      <c r="I131">
        <v>44</v>
      </c>
      <c r="J131">
        <v>36</v>
      </c>
      <c r="K131">
        <v>20</v>
      </c>
      <c r="L131" t="s">
        <v>57</v>
      </c>
      <c r="M131" t="s">
        <v>58</v>
      </c>
      <c r="N131" t="s">
        <v>85</v>
      </c>
      <c r="O131">
        <v>0.238681308177</v>
      </c>
      <c r="P131">
        <f t="shared" si="5"/>
        <v>10.1826496662542</v>
      </c>
      <c r="Q131">
        <f t="shared" ref="Q131:Q194" si="6">LN(P131)</f>
        <v>2.3206852588124</v>
      </c>
      <c r="R131">
        <v>150</v>
      </c>
      <c r="S131" t="s">
        <v>60</v>
      </c>
      <c r="T131" t="s">
        <v>61</v>
      </c>
      <c r="U131" t="s">
        <v>62</v>
      </c>
      <c r="V131">
        <v>1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1</v>
      </c>
      <c r="AC131">
        <v>0</v>
      </c>
      <c r="AD131">
        <v>1</v>
      </c>
      <c r="AE131" s="5">
        <v>12.3952083333333</v>
      </c>
      <c r="AF131" s="5">
        <v>3.99060232426304</v>
      </c>
      <c r="AG131" s="5">
        <v>0.809418673219238</v>
      </c>
      <c r="AH131" s="5">
        <v>15.5263157894737</v>
      </c>
      <c r="AI131" s="5">
        <v>0.459647654411774</v>
      </c>
      <c r="AJ131" s="5">
        <v>-0.476627457257861</v>
      </c>
      <c r="AK131" s="5">
        <v>0.476627457257861</v>
      </c>
      <c r="AL131" s="5">
        <v>0.459647654411774</v>
      </c>
      <c r="AM131" s="5">
        <v>9.98060231888395</v>
      </c>
      <c r="AN131" s="5">
        <v>-0.417658943556199</v>
      </c>
      <c r="AO131" s="5">
        <v>-1.3</v>
      </c>
      <c r="AP131" s="5">
        <v>3314.44680161703</v>
      </c>
      <c r="AQ131" s="5">
        <v>2.17852386673025</v>
      </c>
      <c r="AR131" s="5">
        <v>0</v>
      </c>
      <c r="AS131" s="5">
        <v>4.79453718407182</v>
      </c>
      <c r="AT131" s="5">
        <v>0</v>
      </c>
      <c r="AU131" s="5">
        <v>0</v>
      </c>
      <c r="AV131" s="5">
        <v>0</v>
      </c>
      <c r="AW131" s="5">
        <v>0</v>
      </c>
      <c r="AX131" s="5">
        <v>5.10652739484071</v>
      </c>
      <c r="AY131" s="5">
        <v>-7.29710978835979</v>
      </c>
      <c r="AZ131" s="5">
        <v>0.833333333333333</v>
      </c>
      <c r="BA131" s="5">
        <v>1</v>
      </c>
    </row>
    <row r="132" spans="1:53">
      <c r="A132" t="s">
        <v>53</v>
      </c>
      <c r="B132" t="s">
        <v>75</v>
      </c>
      <c r="C132" t="s">
        <v>55</v>
      </c>
      <c r="D132" s="4" t="s">
        <v>65</v>
      </c>
      <c r="E132">
        <v>0.09375</v>
      </c>
      <c r="F132">
        <v>6.7</v>
      </c>
      <c r="G132">
        <v>1</v>
      </c>
      <c r="H132">
        <v>17</v>
      </c>
      <c r="I132">
        <v>44</v>
      </c>
      <c r="J132">
        <v>36</v>
      </c>
      <c r="K132">
        <v>20</v>
      </c>
      <c r="L132" t="s">
        <v>57</v>
      </c>
      <c r="M132" t="s">
        <v>58</v>
      </c>
      <c r="N132" t="s">
        <v>85</v>
      </c>
      <c r="O132">
        <v>0.1471860994</v>
      </c>
      <c r="P132">
        <f t="shared" si="5"/>
        <v>1.56998506026667</v>
      </c>
      <c r="Q132">
        <f t="shared" si="6"/>
        <v>0.451066103561226</v>
      </c>
      <c r="R132">
        <v>150</v>
      </c>
      <c r="S132" t="s">
        <v>60</v>
      </c>
      <c r="T132" t="s">
        <v>61</v>
      </c>
      <c r="U132" t="s">
        <v>62</v>
      </c>
      <c r="V132">
        <v>1</v>
      </c>
      <c r="W132">
        <v>0</v>
      </c>
      <c r="X132">
        <v>1</v>
      </c>
      <c r="Y132">
        <v>1</v>
      </c>
      <c r="Z132">
        <v>0</v>
      </c>
      <c r="AA132">
        <v>0</v>
      </c>
      <c r="AB132">
        <v>1</v>
      </c>
      <c r="AC132">
        <v>0</v>
      </c>
      <c r="AD132">
        <v>1</v>
      </c>
      <c r="AE132" s="5">
        <v>12.6956944444444</v>
      </c>
      <c r="AF132" s="5">
        <v>7.51923752834467</v>
      </c>
      <c r="AG132" s="5">
        <v>0.567423483996869</v>
      </c>
      <c r="AH132" s="5">
        <v>16.6086956521739</v>
      </c>
      <c r="AI132" s="5">
        <v>0.459647303367286</v>
      </c>
      <c r="AJ132" s="5">
        <v>-0.280752999575136</v>
      </c>
      <c r="AK132" s="5">
        <v>0.459647303367286</v>
      </c>
      <c r="AL132" s="5">
        <v>0.280752999575136</v>
      </c>
      <c r="AM132" s="5">
        <v>9.97962409166519</v>
      </c>
      <c r="AN132" s="5">
        <v>-0.433260944725331</v>
      </c>
      <c r="AO132" s="5">
        <v>-1</v>
      </c>
      <c r="AP132" s="5">
        <v>14934.5346948423</v>
      </c>
      <c r="AQ132" s="5">
        <v>2.69882520469918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4.55274987369036</v>
      </c>
      <c r="AY132" s="5">
        <v>-7.5938637329932</v>
      </c>
      <c r="AZ132" s="5">
        <v>1</v>
      </c>
      <c r="BA132" s="5">
        <v>1</v>
      </c>
    </row>
    <row r="133" spans="1:53">
      <c r="A133" t="s">
        <v>53</v>
      </c>
      <c r="B133" t="s">
        <v>75</v>
      </c>
      <c r="C133" t="s">
        <v>55</v>
      </c>
      <c r="D133" s="4" t="s">
        <v>66</v>
      </c>
      <c r="E133">
        <v>0.43359</v>
      </c>
      <c r="F133">
        <v>6.7</v>
      </c>
      <c r="G133">
        <v>1</v>
      </c>
      <c r="H133">
        <v>17</v>
      </c>
      <c r="I133">
        <v>44</v>
      </c>
      <c r="J133">
        <v>36</v>
      </c>
      <c r="K133">
        <v>20</v>
      </c>
      <c r="L133" t="s">
        <v>57</v>
      </c>
      <c r="M133" t="s">
        <v>58</v>
      </c>
      <c r="N133" t="s">
        <v>85</v>
      </c>
      <c r="O133">
        <v>0.65636973196</v>
      </c>
      <c r="P133">
        <f t="shared" si="5"/>
        <v>1.51380274443599</v>
      </c>
      <c r="Q133">
        <f t="shared" si="6"/>
        <v>0.414624858836186</v>
      </c>
      <c r="R133">
        <v>150</v>
      </c>
      <c r="S133" t="s">
        <v>60</v>
      </c>
      <c r="T133" t="s">
        <v>61</v>
      </c>
      <c r="U133" t="s">
        <v>62</v>
      </c>
      <c r="V133">
        <v>1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1</v>
      </c>
      <c r="AE133" s="5">
        <v>12.8254166666667</v>
      </c>
      <c r="AF133" s="5">
        <v>4.27882137345679</v>
      </c>
      <c r="AG133" s="5">
        <v>0.653062667189842</v>
      </c>
      <c r="AH133" s="5">
        <v>16.12</v>
      </c>
      <c r="AI133" s="5">
        <v>0.459647294455008</v>
      </c>
      <c r="AJ133" s="5">
        <v>-0.47662745733429</v>
      </c>
      <c r="AK133" s="5">
        <v>0.47662745733429</v>
      </c>
      <c r="AL133" s="5">
        <v>0.459647294455008</v>
      </c>
      <c r="AM133" s="5">
        <v>9.90907137329749</v>
      </c>
      <c r="AN133" s="5">
        <v>-0.449718247791216</v>
      </c>
      <c r="AO133" s="5">
        <v>-1.58</v>
      </c>
      <c r="AP133" s="5">
        <v>39741.8973369129</v>
      </c>
      <c r="AQ133" s="5">
        <v>2.73920148528388</v>
      </c>
      <c r="AR133" s="5">
        <v>0</v>
      </c>
      <c r="AS133" s="5">
        <v>4.79453718407182</v>
      </c>
      <c r="AT133" s="5">
        <v>0</v>
      </c>
      <c r="AU133" s="5">
        <v>0</v>
      </c>
      <c r="AV133" s="5">
        <v>0</v>
      </c>
      <c r="AW133" s="5">
        <v>0</v>
      </c>
      <c r="AX133" s="5">
        <v>5.10652739484071</v>
      </c>
      <c r="AY133" s="5">
        <v>-7.69383775037793</v>
      </c>
      <c r="AZ133" s="5">
        <v>0.875</v>
      </c>
      <c r="BA133" s="5">
        <v>1</v>
      </c>
    </row>
    <row r="134" spans="1:53">
      <c r="A134" t="s">
        <v>53</v>
      </c>
      <c r="B134" t="s">
        <v>75</v>
      </c>
      <c r="C134" t="s">
        <v>55</v>
      </c>
      <c r="D134" s="4" t="s">
        <v>67</v>
      </c>
      <c r="E134">
        <v>0.0234300000000001</v>
      </c>
      <c r="F134">
        <v>6.7</v>
      </c>
      <c r="G134">
        <v>1</v>
      </c>
      <c r="H134">
        <v>17</v>
      </c>
      <c r="I134">
        <v>44</v>
      </c>
      <c r="J134">
        <v>36</v>
      </c>
      <c r="K134">
        <v>20</v>
      </c>
      <c r="L134" t="s">
        <v>57</v>
      </c>
      <c r="M134" t="s">
        <v>58</v>
      </c>
      <c r="N134" t="s">
        <v>85</v>
      </c>
      <c r="O134">
        <v>1.07406045861</v>
      </c>
      <c r="P134">
        <f t="shared" si="5"/>
        <v>45.8412487669652</v>
      </c>
      <c r="Q134">
        <f t="shared" si="6"/>
        <v>3.82518431389767</v>
      </c>
      <c r="R134">
        <v>150</v>
      </c>
      <c r="S134" t="s">
        <v>60</v>
      </c>
      <c r="T134" t="s">
        <v>61</v>
      </c>
      <c r="U134" t="s">
        <v>62</v>
      </c>
      <c r="V134">
        <v>1</v>
      </c>
      <c r="W134">
        <v>0</v>
      </c>
      <c r="X134">
        <v>1</v>
      </c>
      <c r="Y134">
        <v>1</v>
      </c>
      <c r="Z134">
        <v>0</v>
      </c>
      <c r="AA134">
        <v>0</v>
      </c>
      <c r="AB134">
        <v>1</v>
      </c>
      <c r="AC134">
        <v>0</v>
      </c>
      <c r="AD134">
        <v>1</v>
      </c>
      <c r="AE134" s="5">
        <v>13.0371419123205</v>
      </c>
      <c r="AF134" s="5">
        <v>7.66829457707096</v>
      </c>
      <c r="AG134" s="5">
        <v>0.402493807679921</v>
      </c>
      <c r="AH134" s="5">
        <v>16.8965517241379</v>
      </c>
      <c r="AI134" s="5">
        <v>0.459647294440031</v>
      </c>
      <c r="AJ134" s="5">
        <v>-0.280752999575314</v>
      </c>
      <c r="AK134" s="5">
        <v>0.459647294440031</v>
      </c>
      <c r="AL134" s="5">
        <v>0.280752999575314</v>
      </c>
      <c r="AM134" s="5">
        <v>9.90856544965598</v>
      </c>
      <c r="AN134" s="5">
        <v>-0.457885273814649</v>
      </c>
      <c r="AO134" s="5">
        <v>-1.28</v>
      </c>
      <c r="AP134" s="5">
        <v>176558.643253875</v>
      </c>
      <c r="AQ134" s="5">
        <v>3.26474212239717</v>
      </c>
      <c r="AR134" s="5">
        <v>0</v>
      </c>
      <c r="AS134" s="5">
        <v>0</v>
      </c>
      <c r="AT134" s="5">
        <v>0</v>
      </c>
      <c r="AU134" s="5">
        <v>0</v>
      </c>
      <c r="AV134" s="5">
        <v>0</v>
      </c>
      <c r="AW134" s="5">
        <v>0</v>
      </c>
      <c r="AX134" s="5">
        <v>4.55274987369036</v>
      </c>
      <c r="AY134" s="5">
        <v>-7.88274914441085</v>
      </c>
      <c r="AZ134" s="5">
        <v>1</v>
      </c>
      <c r="BA134" s="5">
        <v>1</v>
      </c>
    </row>
    <row r="135" spans="1:53">
      <c r="A135" t="s">
        <v>53</v>
      </c>
      <c r="B135" t="s">
        <v>75</v>
      </c>
      <c r="C135" t="s">
        <v>55</v>
      </c>
      <c r="D135" s="4" t="s">
        <v>68</v>
      </c>
      <c r="E135">
        <v>0.02431</v>
      </c>
      <c r="F135">
        <v>6.7</v>
      </c>
      <c r="G135">
        <v>1</v>
      </c>
      <c r="H135">
        <v>17</v>
      </c>
      <c r="I135">
        <v>44</v>
      </c>
      <c r="J135">
        <v>36</v>
      </c>
      <c r="K135">
        <v>20</v>
      </c>
      <c r="L135" t="s">
        <v>57</v>
      </c>
      <c r="M135" t="s">
        <v>58</v>
      </c>
      <c r="N135" t="s">
        <v>85</v>
      </c>
      <c r="O135">
        <v>0.76775611894</v>
      </c>
      <c r="P135">
        <f t="shared" si="5"/>
        <v>31.5819053451255</v>
      </c>
      <c r="Q135">
        <f t="shared" si="6"/>
        <v>3.45258434092532</v>
      </c>
      <c r="R135">
        <v>150</v>
      </c>
      <c r="S135" t="s">
        <v>60</v>
      </c>
      <c r="T135" t="s">
        <v>61</v>
      </c>
      <c r="U135" t="s">
        <v>62</v>
      </c>
      <c r="V135">
        <v>1</v>
      </c>
      <c r="W135">
        <v>0</v>
      </c>
      <c r="X135">
        <v>1</v>
      </c>
      <c r="Y135">
        <v>1</v>
      </c>
      <c r="Z135">
        <v>0</v>
      </c>
      <c r="AA135">
        <v>0</v>
      </c>
      <c r="AB135">
        <v>1</v>
      </c>
      <c r="AC135">
        <v>0</v>
      </c>
      <c r="AD135">
        <v>1</v>
      </c>
      <c r="AE135" s="5">
        <v>12.1252083333333</v>
      </c>
      <c r="AF135" s="5">
        <v>3.79034722222222</v>
      </c>
      <c r="AG135" s="5">
        <v>0.795108310685598</v>
      </c>
      <c r="AH135" s="5">
        <v>15.0625</v>
      </c>
      <c r="AI135" s="5">
        <v>0.459665733935349</v>
      </c>
      <c r="AJ135" s="5">
        <v>-0.476627440416371</v>
      </c>
      <c r="AK135" s="5">
        <v>0.476627440416371</v>
      </c>
      <c r="AL135" s="5">
        <v>0.459665733935349</v>
      </c>
      <c r="AM135" s="5">
        <v>10.044436145131</v>
      </c>
      <c r="AN135" s="5">
        <v>-0.389909625311938</v>
      </c>
      <c r="AO135" s="5">
        <v>-1.16</v>
      </c>
      <c r="AP135" s="5">
        <v>939.726830541714</v>
      </c>
      <c r="AQ135" s="5">
        <v>1.77550667912426</v>
      </c>
      <c r="AR135" s="5">
        <v>0</v>
      </c>
      <c r="AS135" s="5">
        <v>4.79453718407182</v>
      </c>
      <c r="AT135" s="5">
        <v>0</v>
      </c>
      <c r="AU135" s="5">
        <v>0</v>
      </c>
      <c r="AV135" s="5">
        <v>0</v>
      </c>
      <c r="AW135" s="5">
        <v>0</v>
      </c>
      <c r="AX135" s="5">
        <v>5.10652739484071</v>
      </c>
      <c r="AY135" s="5">
        <v>-7.00458333333333</v>
      </c>
      <c r="AZ135" s="5">
        <v>0.8</v>
      </c>
      <c r="BA135" s="5">
        <v>1</v>
      </c>
    </row>
    <row r="136" spans="1:53">
      <c r="A136" t="s">
        <v>53</v>
      </c>
      <c r="B136" t="s">
        <v>76</v>
      </c>
      <c r="C136" t="s">
        <v>55</v>
      </c>
      <c r="D136" s="4" t="s">
        <v>64</v>
      </c>
      <c r="E136">
        <v>0.0234369999999999</v>
      </c>
      <c r="F136">
        <v>6.7</v>
      </c>
      <c r="G136">
        <v>1</v>
      </c>
      <c r="H136">
        <v>17</v>
      </c>
      <c r="I136">
        <v>44</v>
      </c>
      <c r="J136">
        <v>36</v>
      </c>
      <c r="K136">
        <v>20</v>
      </c>
      <c r="L136" t="s">
        <v>57</v>
      </c>
      <c r="M136" t="s">
        <v>58</v>
      </c>
      <c r="N136" t="s">
        <v>85</v>
      </c>
      <c r="O136">
        <v>0.188917378848</v>
      </c>
      <c r="P136">
        <f t="shared" si="5"/>
        <v>8.06064679131292</v>
      </c>
      <c r="Q136">
        <f t="shared" si="6"/>
        <v>2.08699380036007</v>
      </c>
      <c r="R136">
        <v>150</v>
      </c>
      <c r="S136" t="s">
        <v>60</v>
      </c>
      <c r="T136" t="s">
        <v>61</v>
      </c>
      <c r="U136" t="s">
        <v>62</v>
      </c>
      <c r="V136">
        <v>1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1</v>
      </c>
      <c r="AC136">
        <v>0</v>
      </c>
      <c r="AD136">
        <v>1</v>
      </c>
      <c r="AE136" s="5">
        <v>12.3952083333333</v>
      </c>
      <c r="AF136" s="5">
        <v>3.99060232426304</v>
      </c>
      <c r="AG136" s="5">
        <v>0.809418673219238</v>
      </c>
      <c r="AH136" s="5">
        <v>15.5263157894737</v>
      </c>
      <c r="AI136" s="5">
        <v>0.459647654411774</v>
      </c>
      <c r="AJ136" s="5">
        <v>-0.476627457257861</v>
      </c>
      <c r="AK136" s="5">
        <v>0.476627457257861</v>
      </c>
      <c r="AL136" s="5">
        <v>0.459647654411774</v>
      </c>
      <c r="AM136" s="5">
        <v>9.98060231888395</v>
      </c>
      <c r="AN136" s="5">
        <v>-0.417658943556199</v>
      </c>
      <c r="AO136" s="5">
        <v>-1.3</v>
      </c>
      <c r="AP136" s="5">
        <v>3314.44680161703</v>
      </c>
      <c r="AQ136" s="5">
        <v>2.17852386673025</v>
      </c>
      <c r="AR136" s="5">
        <v>0</v>
      </c>
      <c r="AS136" s="5">
        <v>4.79453718407182</v>
      </c>
      <c r="AT136" s="5">
        <v>0</v>
      </c>
      <c r="AU136" s="5">
        <v>0</v>
      </c>
      <c r="AV136" s="5">
        <v>0</v>
      </c>
      <c r="AW136" s="5">
        <v>0</v>
      </c>
      <c r="AX136" s="5">
        <v>5.10652739484071</v>
      </c>
      <c r="AY136" s="5">
        <v>-7.29710978835979</v>
      </c>
      <c r="AZ136" s="5">
        <v>0.833333333333333</v>
      </c>
      <c r="BA136" s="5">
        <v>1</v>
      </c>
    </row>
    <row r="137" spans="1:53">
      <c r="A137" t="s">
        <v>53</v>
      </c>
      <c r="B137" t="s">
        <v>76</v>
      </c>
      <c r="C137" t="s">
        <v>55</v>
      </c>
      <c r="D137" s="4" t="s">
        <v>65</v>
      </c>
      <c r="E137">
        <v>0.058594</v>
      </c>
      <c r="F137">
        <v>6.7</v>
      </c>
      <c r="G137">
        <v>1</v>
      </c>
      <c r="H137">
        <v>17</v>
      </c>
      <c r="I137">
        <v>44</v>
      </c>
      <c r="J137">
        <v>36</v>
      </c>
      <c r="K137">
        <v>20</v>
      </c>
      <c r="L137" t="s">
        <v>57</v>
      </c>
      <c r="M137" t="s">
        <v>58</v>
      </c>
      <c r="N137" t="s">
        <v>85</v>
      </c>
      <c r="O137">
        <v>0.198859937152</v>
      </c>
      <c r="P137">
        <f t="shared" si="5"/>
        <v>3.39386178025054</v>
      </c>
      <c r="Q137">
        <f t="shared" si="6"/>
        <v>1.22196844124809</v>
      </c>
      <c r="R137">
        <v>150</v>
      </c>
      <c r="S137" t="s">
        <v>60</v>
      </c>
      <c r="T137" t="s">
        <v>61</v>
      </c>
      <c r="U137" t="s">
        <v>62</v>
      </c>
      <c r="V137">
        <v>1</v>
      </c>
      <c r="W137">
        <v>0</v>
      </c>
      <c r="X137">
        <v>1</v>
      </c>
      <c r="Y137">
        <v>1</v>
      </c>
      <c r="Z137">
        <v>0</v>
      </c>
      <c r="AA137">
        <v>0</v>
      </c>
      <c r="AB137">
        <v>1</v>
      </c>
      <c r="AC137">
        <v>0</v>
      </c>
      <c r="AD137">
        <v>1</v>
      </c>
      <c r="AE137" s="5">
        <v>12.6956944444444</v>
      </c>
      <c r="AF137" s="5">
        <v>7.51923752834467</v>
      </c>
      <c r="AG137" s="5">
        <v>0.567423483996869</v>
      </c>
      <c r="AH137" s="5">
        <v>16.6086956521739</v>
      </c>
      <c r="AI137" s="5">
        <v>0.459647303367286</v>
      </c>
      <c r="AJ137" s="5">
        <v>-0.280752999575136</v>
      </c>
      <c r="AK137" s="5">
        <v>0.459647303367286</v>
      </c>
      <c r="AL137" s="5">
        <v>0.280752999575136</v>
      </c>
      <c r="AM137" s="5">
        <v>9.97962409166519</v>
      </c>
      <c r="AN137" s="5">
        <v>-0.433260944725331</v>
      </c>
      <c r="AO137" s="5">
        <v>-1</v>
      </c>
      <c r="AP137" s="5">
        <v>14934.5346948423</v>
      </c>
      <c r="AQ137" s="5">
        <v>2.69882520469918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4.55274987369036</v>
      </c>
      <c r="AY137" s="5">
        <v>-7.5938637329932</v>
      </c>
      <c r="AZ137" s="5">
        <v>1</v>
      </c>
      <c r="BA137" s="5">
        <v>1</v>
      </c>
    </row>
    <row r="138" spans="1:53">
      <c r="A138" t="s">
        <v>53</v>
      </c>
      <c r="B138" t="s">
        <v>76</v>
      </c>
      <c r="C138" t="s">
        <v>55</v>
      </c>
      <c r="D138" s="4" t="s">
        <v>66</v>
      </c>
      <c r="E138">
        <v>1.031255</v>
      </c>
      <c r="F138">
        <v>6.7</v>
      </c>
      <c r="G138">
        <v>1</v>
      </c>
      <c r="H138">
        <v>17</v>
      </c>
      <c r="I138">
        <v>44</v>
      </c>
      <c r="J138">
        <v>36</v>
      </c>
      <c r="K138">
        <v>20</v>
      </c>
      <c r="L138" t="s">
        <v>57</v>
      </c>
      <c r="M138" t="s">
        <v>58</v>
      </c>
      <c r="N138" t="s">
        <v>85</v>
      </c>
      <c r="O138">
        <v>0.55680957824</v>
      </c>
      <c r="P138">
        <f t="shared" si="5"/>
        <v>0.539933942856035</v>
      </c>
      <c r="Q138">
        <f t="shared" si="6"/>
        <v>-0.616308474950883</v>
      </c>
      <c r="R138">
        <v>150</v>
      </c>
      <c r="S138" t="s">
        <v>60</v>
      </c>
      <c r="T138" t="s">
        <v>61</v>
      </c>
      <c r="U138" t="s">
        <v>62</v>
      </c>
      <c r="V138">
        <v>1</v>
      </c>
      <c r="W138">
        <v>0</v>
      </c>
      <c r="X138">
        <v>1</v>
      </c>
      <c r="Y138">
        <v>1</v>
      </c>
      <c r="Z138">
        <v>0</v>
      </c>
      <c r="AA138">
        <v>0</v>
      </c>
      <c r="AB138">
        <v>1</v>
      </c>
      <c r="AC138">
        <v>0</v>
      </c>
      <c r="AD138">
        <v>1</v>
      </c>
      <c r="AE138" s="5">
        <v>12.8254166666667</v>
      </c>
      <c r="AF138" s="5">
        <v>4.27882137345679</v>
      </c>
      <c r="AG138" s="5">
        <v>0.653062667189842</v>
      </c>
      <c r="AH138" s="5">
        <v>16.12</v>
      </c>
      <c r="AI138" s="5">
        <v>0.459647294455008</v>
      </c>
      <c r="AJ138" s="5">
        <v>-0.47662745733429</v>
      </c>
      <c r="AK138" s="5">
        <v>0.47662745733429</v>
      </c>
      <c r="AL138" s="5">
        <v>0.459647294455008</v>
      </c>
      <c r="AM138" s="5">
        <v>9.90907137329749</v>
      </c>
      <c r="AN138" s="5">
        <v>-0.449718247791216</v>
      </c>
      <c r="AO138" s="5">
        <v>-1.58</v>
      </c>
      <c r="AP138" s="5">
        <v>39741.8973369129</v>
      </c>
      <c r="AQ138" s="5">
        <v>2.73920148528388</v>
      </c>
      <c r="AR138" s="5">
        <v>0</v>
      </c>
      <c r="AS138" s="5">
        <v>4.79453718407182</v>
      </c>
      <c r="AT138" s="5">
        <v>0</v>
      </c>
      <c r="AU138" s="5">
        <v>0</v>
      </c>
      <c r="AV138" s="5">
        <v>0</v>
      </c>
      <c r="AW138" s="5">
        <v>0</v>
      </c>
      <c r="AX138" s="5">
        <v>5.10652739484071</v>
      </c>
      <c r="AY138" s="5">
        <v>-7.69383775037793</v>
      </c>
      <c r="AZ138" s="5">
        <v>0.875</v>
      </c>
      <c r="BA138" s="5">
        <v>1</v>
      </c>
    </row>
    <row r="139" spans="1:53">
      <c r="A139" t="s">
        <v>53</v>
      </c>
      <c r="B139" t="s">
        <v>76</v>
      </c>
      <c r="C139" t="s">
        <v>55</v>
      </c>
      <c r="D139" s="4" t="s">
        <v>67</v>
      </c>
      <c r="E139">
        <v>0.0585899999999999</v>
      </c>
      <c r="F139">
        <v>6.7</v>
      </c>
      <c r="G139">
        <v>1</v>
      </c>
      <c r="H139">
        <v>17</v>
      </c>
      <c r="I139">
        <v>44</v>
      </c>
      <c r="J139">
        <v>36</v>
      </c>
      <c r="K139">
        <v>20</v>
      </c>
      <c r="L139" t="s">
        <v>57</v>
      </c>
      <c r="M139" t="s">
        <v>58</v>
      </c>
      <c r="N139" t="s">
        <v>85</v>
      </c>
      <c r="O139">
        <v>1.05064560048</v>
      </c>
      <c r="P139">
        <f t="shared" si="5"/>
        <v>17.9321659068101</v>
      </c>
      <c r="Q139">
        <f t="shared" si="6"/>
        <v>2.88659607824739</v>
      </c>
      <c r="R139">
        <v>150</v>
      </c>
      <c r="S139" t="s">
        <v>60</v>
      </c>
      <c r="T139" t="s">
        <v>61</v>
      </c>
      <c r="U139" t="s">
        <v>62</v>
      </c>
      <c r="V139">
        <v>1</v>
      </c>
      <c r="W139">
        <v>0</v>
      </c>
      <c r="X139">
        <v>1</v>
      </c>
      <c r="Y139">
        <v>1</v>
      </c>
      <c r="Z139">
        <v>0</v>
      </c>
      <c r="AA139">
        <v>0</v>
      </c>
      <c r="AB139">
        <v>1</v>
      </c>
      <c r="AC139">
        <v>0</v>
      </c>
      <c r="AD139">
        <v>1</v>
      </c>
      <c r="AE139" s="5">
        <v>13.0371419123205</v>
      </c>
      <c r="AF139" s="5">
        <v>7.66829457707096</v>
      </c>
      <c r="AG139" s="5">
        <v>0.402493807679921</v>
      </c>
      <c r="AH139" s="5">
        <v>16.8965517241379</v>
      </c>
      <c r="AI139" s="5">
        <v>0.459647294440031</v>
      </c>
      <c r="AJ139" s="5">
        <v>-0.280752999575314</v>
      </c>
      <c r="AK139" s="5">
        <v>0.459647294440031</v>
      </c>
      <c r="AL139" s="5">
        <v>0.280752999575314</v>
      </c>
      <c r="AM139" s="5">
        <v>9.90856544965598</v>
      </c>
      <c r="AN139" s="5">
        <v>-0.457885273814649</v>
      </c>
      <c r="AO139" s="5">
        <v>-1.28</v>
      </c>
      <c r="AP139" s="5">
        <v>176558.643253875</v>
      </c>
      <c r="AQ139" s="5">
        <v>3.26474212239717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4.55274987369036</v>
      </c>
      <c r="AY139" s="5">
        <v>-7.88274914441085</v>
      </c>
      <c r="AZ139" s="5">
        <v>1</v>
      </c>
      <c r="BA139" s="5">
        <v>1</v>
      </c>
    </row>
    <row r="140" spans="1:53">
      <c r="A140" t="s">
        <v>53</v>
      </c>
      <c r="B140" t="s">
        <v>76</v>
      </c>
      <c r="C140" t="s">
        <v>55</v>
      </c>
      <c r="D140" s="4" t="s">
        <v>68</v>
      </c>
      <c r="E140">
        <v>0.0234400000000001</v>
      </c>
      <c r="F140">
        <v>6.7</v>
      </c>
      <c r="G140">
        <v>1</v>
      </c>
      <c r="H140">
        <v>17</v>
      </c>
      <c r="I140">
        <v>44</v>
      </c>
      <c r="J140">
        <v>36</v>
      </c>
      <c r="K140">
        <v>20</v>
      </c>
      <c r="L140" t="s">
        <v>57</v>
      </c>
      <c r="M140" t="s">
        <v>58</v>
      </c>
      <c r="N140" t="s">
        <v>85</v>
      </c>
      <c r="O140">
        <v>0.74572750528</v>
      </c>
      <c r="P140">
        <f t="shared" si="5"/>
        <v>31.8143133651876</v>
      </c>
      <c r="Q140">
        <f t="shared" si="6"/>
        <v>3.4599162943424</v>
      </c>
      <c r="R140">
        <v>150</v>
      </c>
      <c r="S140" t="s">
        <v>60</v>
      </c>
      <c r="T140" t="s">
        <v>61</v>
      </c>
      <c r="U140" t="s">
        <v>62</v>
      </c>
      <c r="V140">
        <v>1</v>
      </c>
      <c r="W140">
        <v>0</v>
      </c>
      <c r="X140">
        <v>1</v>
      </c>
      <c r="Y140">
        <v>1</v>
      </c>
      <c r="Z140">
        <v>0</v>
      </c>
      <c r="AA140">
        <v>0</v>
      </c>
      <c r="AB140">
        <v>1</v>
      </c>
      <c r="AC140">
        <v>0</v>
      </c>
      <c r="AD140">
        <v>1</v>
      </c>
      <c r="AE140" s="5">
        <v>12.1252083333333</v>
      </c>
      <c r="AF140" s="5">
        <v>3.79034722222222</v>
      </c>
      <c r="AG140" s="5">
        <v>0.795108310685598</v>
      </c>
      <c r="AH140" s="5">
        <v>15.0625</v>
      </c>
      <c r="AI140" s="5">
        <v>0.459665733935349</v>
      </c>
      <c r="AJ140" s="5">
        <v>-0.476627440416371</v>
      </c>
      <c r="AK140" s="5">
        <v>0.476627440416371</v>
      </c>
      <c r="AL140" s="5">
        <v>0.459665733935349</v>
      </c>
      <c r="AM140" s="5">
        <v>10.044436145131</v>
      </c>
      <c r="AN140" s="5">
        <v>-0.389909625311938</v>
      </c>
      <c r="AO140" s="5">
        <v>-1.16</v>
      </c>
      <c r="AP140" s="5">
        <v>939.726830541714</v>
      </c>
      <c r="AQ140" s="5">
        <v>1.77550667912426</v>
      </c>
      <c r="AR140" s="5">
        <v>0</v>
      </c>
      <c r="AS140" s="5">
        <v>4.79453718407182</v>
      </c>
      <c r="AT140" s="5">
        <v>0</v>
      </c>
      <c r="AU140" s="5">
        <v>0</v>
      </c>
      <c r="AV140" s="5">
        <v>0</v>
      </c>
      <c r="AW140" s="5">
        <v>0</v>
      </c>
      <c r="AX140" s="5">
        <v>5.10652739484071</v>
      </c>
      <c r="AY140" s="5">
        <v>-7.00458333333333</v>
      </c>
      <c r="AZ140" s="5">
        <v>0.8</v>
      </c>
      <c r="BA140" s="5">
        <v>1</v>
      </c>
    </row>
    <row r="141" spans="1:53">
      <c r="A141" t="s">
        <v>53</v>
      </c>
      <c r="B141" t="s">
        <v>77</v>
      </c>
      <c r="C141" t="s">
        <v>55</v>
      </c>
      <c r="D141" s="4" t="s">
        <v>63</v>
      </c>
      <c r="E141">
        <v>0.234375</v>
      </c>
      <c r="F141">
        <v>6.7</v>
      </c>
      <c r="G141">
        <v>1</v>
      </c>
      <c r="H141">
        <v>17</v>
      </c>
      <c r="I141">
        <v>44</v>
      </c>
      <c r="J141">
        <v>36</v>
      </c>
      <c r="K141">
        <v>20</v>
      </c>
      <c r="L141" t="s">
        <v>57</v>
      </c>
      <c r="M141" t="s">
        <v>58</v>
      </c>
      <c r="N141" t="s">
        <v>85</v>
      </c>
      <c r="O141">
        <v>0.25575209847</v>
      </c>
      <c r="P141">
        <f t="shared" si="5"/>
        <v>1.091208953472</v>
      </c>
      <c r="Q141">
        <f t="shared" si="6"/>
        <v>0.087286213234689</v>
      </c>
      <c r="R141">
        <v>150</v>
      </c>
      <c r="S141" t="s">
        <v>60</v>
      </c>
      <c r="T141" t="s">
        <v>61</v>
      </c>
      <c r="U141" t="s">
        <v>62</v>
      </c>
      <c r="V141">
        <v>1</v>
      </c>
      <c r="W141">
        <v>0</v>
      </c>
      <c r="X141">
        <v>1</v>
      </c>
      <c r="Y141">
        <v>1</v>
      </c>
      <c r="Z141">
        <v>0</v>
      </c>
      <c r="AA141">
        <v>0</v>
      </c>
      <c r="AB141">
        <v>1</v>
      </c>
      <c r="AC141">
        <v>0</v>
      </c>
      <c r="AD141">
        <v>1</v>
      </c>
      <c r="AE141" s="5">
        <v>12.2120833333333</v>
      </c>
      <c r="AF141" s="5">
        <v>7.00097222222222</v>
      </c>
      <c r="AG141" s="5">
        <v>0.642528075697275</v>
      </c>
      <c r="AH141" s="5">
        <v>16.1176470588235</v>
      </c>
      <c r="AI141" s="5">
        <v>0.459694901747447</v>
      </c>
      <c r="AJ141" s="5">
        <v>-0.280752981483328</v>
      </c>
      <c r="AK141" s="5">
        <v>0.459694901747447</v>
      </c>
      <c r="AL141" s="5">
        <v>0.280752981483328</v>
      </c>
      <c r="AM141" s="5">
        <v>10.1452721658031</v>
      </c>
      <c r="AN141" s="5">
        <v>-0.382289160206052</v>
      </c>
      <c r="AO141" s="5">
        <v>-0.72</v>
      </c>
      <c r="AP141" s="5">
        <v>1212.20967645111</v>
      </c>
      <c r="AQ141" s="5">
        <v>2.16502218725737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4.55274987369036</v>
      </c>
      <c r="AY141" s="5">
        <v>-7.13430555555556</v>
      </c>
      <c r="AZ141" s="5">
        <v>1</v>
      </c>
      <c r="BA141" s="5">
        <v>1</v>
      </c>
    </row>
    <row r="142" spans="1:53">
      <c r="A142" t="s">
        <v>53</v>
      </c>
      <c r="B142" t="s">
        <v>77</v>
      </c>
      <c r="C142" t="s">
        <v>55</v>
      </c>
      <c r="D142" s="4" t="s">
        <v>65</v>
      </c>
      <c r="E142">
        <v>0.11719</v>
      </c>
      <c r="F142">
        <v>6.7</v>
      </c>
      <c r="G142">
        <v>1</v>
      </c>
      <c r="H142">
        <v>17</v>
      </c>
      <c r="I142">
        <v>44</v>
      </c>
      <c r="J142">
        <v>36</v>
      </c>
      <c r="K142">
        <v>20</v>
      </c>
      <c r="L142" t="s">
        <v>57</v>
      </c>
      <c r="M142" t="s">
        <v>58</v>
      </c>
      <c r="N142" t="s">
        <v>85</v>
      </c>
      <c r="O142">
        <v>0.21536983665</v>
      </c>
      <c r="P142">
        <f t="shared" si="5"/>
        <v>1.83778340003413</v>
      </c>
      <c r="Q142">
        <f t="shared" si="6"/>
        <v>0.608560171523521</v>
      </c>
      <c r="R142">
        <v>150</v>
      </c>
      <c r="S142" t="s">
        <v>60</v>
      </c>
      <c r="T142" t="s">
        <v>61</v>
      </c>
      <c r="U142" t="s">
        <v>62</v>
      </c>
      <c r="V142">
        <v>1</v>
      </c>
      <c r="W142">
        <v>0</v>
      </c>
      <c r="X142">
        <v>1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1</v>
      </c>
      <c r="AE142" s="5">
        <v>12.6956944444444</v>
      </c>
      <c r="AF142" s="5">
        <v>7.51923752834467</v>
      </c>
      <c r="AG142" s="5">
        <v>0.567423483996869</v>
      </c>
      <c r="AH142" s="5">
        <v>16.6086956521739</v>
      </c>
      <c r="AI142" s="5">
        <v>0.459647303367286</v>
      </c>
      <c r="AJ142" s="5">
        <v>-0.280752999575136</v>
      </c>
      <c r="AK142" s="5">
        <v>0.459647303367286</v>
      </c>
      <c r="AL142" s="5">
        <v>0.280752999575136</v>
      </c>
      <c r="AM142" s="5">
        <v>9.97962409166519</v>
      </c>
      <c r="AN142" s="5">
        <v>-0.433260944725331</v>
      </c>
      <c r="AO142" s="5">
        <v>-1</v>
      </c>
      <c r="AP142" s="5">
        <v>14934.5346948423</v>
      </c>
      <c r="AQ142" s="5">
        <v>2.69882520469918</v>
      </c>
      <c r="AR142" s="5">
        <v>0</v>
      </c>
      <c r="AS142" s="5">
        <v>0</v>
      </c>
      <c r="AT142" s="5">
        <v>0</v>
      </c>
      <c r="AU142" s="5">
        <v>0</v>
      </c>
      <c r="AV142" s="5">
        <v>0</v>
      </c>
      <c r="AW142" s="5">
        <v>0</v>
      </c>
      <c r="AX142" s="5">
        <v>4.55274987369036</v>
      </c>
      <c r="AY142" s="5">
        <v>-7.5938637329932</v>
      </c>
      <c r="AZ142" s="5">
        <v>1</v>
      </c>
      <c r="BA142" s="5">
        <v>1</v>
      </c>
    </row>
    <row r="143" spans="1:53">
      <c r="A143" t="s">
        <v>53</v>
      </c>
      <c r="B143" t="s">
        <v>77</v>
      </c>
      <c r="C143" t="s">
        <v>55</v>
      </c>
      <c r="D143" s="4" t="s">
        <v>66</v>
      </c>
      <c r="E143">
        <v>1.2539</v>
      </c>
      <c r="F143">
        <v>6.7</v>
      </c>
      <c r="G143">
        <v>1</v>
      </c>
      <c r="H143">
        <v>17</v>
      </c>
      <c r="I143">
        <v>44</v>
      </c>
      <c r="J143">
        <v>36</v>
      </c>
      <c r="K143">
        <v>20</v>
      </c>
      <c r="L143" t="s">
        <v>57</v>
      </c>
      <c r="M143" t="s">
        <v>58</v>
      </c>
      <c r="N143" t="s">
        <v>85</v>
      </c>
      <c r="O143">
        <v>0.8076378151</v>
      </c>
      <c r="P143">
        <f t="shared" si="5"/>
        <v>0.644100658026956</v>
      </c>
      <c r="Q143">
        <f t="shared" si="6"/>
        <v>-0.439900263807463</v>
      </c>
      <c r="R143">
        <v>150</v>
      </c>
      <c r="S143" t="s">
        <v>60</v>
      </c>
      <c r="T143" t="s">
        <v>61</v>
      </c>
      <c r="U143" t="s">
        <v>62</v>
      </c>
      <c r="V143">
        <v>1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1</v>
      </c>
      <c r="AC143">
        <v>0</v>
      </c>
      <c r="AD143">
        <v>1</v>
      </c>
      <c r="AE143" s="5">
        <v>12.8254166666667</v>
      </c>
      <c r="AF143" s="5">
        <v>4.27882137345679</v>
      </c>
      <c r="AG143" s="5">
        <v>0.653062667189842</v>
      </c>
      <c r="AH143" s="5">
        <v>16.12</v>
      </c>
      <c r="AI143" s="5">
        <v>0.459647294455008</v>
      </c>
      <c r="AJ143" s="5">
        <v>-0.47662745733429</v>
      </c>
      <c r="AK143" s="5">
        <v>0.47662745733429</v>
      </c>
      <c r="AL143" s="5">
        <v>0.459647294455008</v>
      </c>
      <c r="AM143" s="5">
        <v>9.90907137329749</v>
      </c>
      <c r="AN143" s="5">
        <v>-0.449718247791216</v>
      </c>
      <c r="AO143" s="5">
        <v>-1.58</v>
      </c>
      <c r="AP143" s="5">
        <v>39741.8973369129</v>
      </c>
      <c r="AQ143" s="5">
        <v>2.73920148528388</v>
      </c>
      <c r="AR143" s="5">
        <v>0</v>
      </c>
      <c r="AS143" s="5">
        <v>4.79453718407182</v>
      </c>
      <c r="AT143" s="5">
        <v>0</v>
      </c>
      <c r="AU143" s="5">
        <v>0</v>
      </c>
      <c r="AV143" s="5">
        <v>0</v>
      </c>
      <c r="AW143" s="5">
        <v>0</v>
      </c>
      <c r="AX143" s="5">
        <v>5.10652739484071</v>
      </c>
      <c r="AY143" s="5">
        <v>-7.69383775037793</v>
      </c>
      <c r="AZ143" s="5">
        <v>0.875</v>
      </c>
      <c r="BA143" s="5">
        <v>1</v>
      </c>
    </row>
    <row r="144" spans="1:53">
      <c r="A144" t="s">
        <v>53</v>
      </c>
      <c r="B144" t="s">
        <v>77</v>
      </c>
      <c r="C144" t="s">
        <v>55</v>
      </c>
      <c r="D144" s="4" t="s">
        <v>67</v>
      </c>
      <c r="E144">
        <v>0.0585999999999998</v>
      </c>
      <c r="F144">
        <v>6.7</v>
      </c>
      <c r="G144">
        <v>1</v>
      </c>
      <c r="H144">
        <v>17</v>
      </c>
      <c r="I144">
        <v>44</v>
      </c>
      <c r="J144">
        <v>36</v>
      </c>
      <c r="K144">
        <v>20</v>
      </c>
      <c r="L144" t="s">
        <v>57</v>
      </c>
      <c r="M144" t="s">
        <v>58</v>
      </c>
      <c r="N144" t="s">
        <v>85</v>
      </c>
      <c r="O144">
        <v>1.3774749143</v>
      </c>
      <c r="P144">
        <f t="shared" si="5"/>
        <v>23.5063978549489</v>
      </c>
      <c r="Q144">
        <f t="shared" si="6"/>
        <v>3.1572726332438</v>
      </c>
      <c r="R144">
        <v>150</v>
      </c>
      <c r="S144" t="s">
        <v>60</v>
      </c>
      <c r="T144" t="s">
        <v>61</v>
      </c>
      <c r="U144" t="s">
        <v>62</v>
      </c>
      <c r="V144">
        <v>1</v>
      </c>
      <c r="W144">
        <v>0</v>
      </c>
      <c r="X144">
        <v>1</v>
      </c>
      <c r="Y144">
        <v>1</v>
      </c>
      <c r="Z144">
        <v>0</v>
      </c>
      <c r="AA144">
        <v>0</v>
      </c>
      <c r="AB144">
        <v>1</v>
      </c>
      <c r="AC144">
        <v>0</v>
      </c>
      <c r="AD144">
        <v>1</v>
      </c>
      <c r="AE144" s="5">
        <v>13.0371419123205</v>
      </c>
      <c r="AF144" s="5">
        <v>7.66829457707096</v>
      </c>
      <c r="AG144" s="5">
        <v>0.402493807679921</v>
      </c>
      <c r="AH144" s="5">
        <v>16.8965517241379</v>
      </c>
      <c r="AI144" s="5">
        <v>0.459647294440031</v>
      </c>
      <c r="AJ144" s="5">
        <v>-0.280752999575314</v>
      </c>
      <c r="AK144" s="5">
        <v>0.459647294440031</v>
      </c>
      <c r="AL144" s="5">
        <v>0.280752999575314</v>
      </c>
      <c r="AM144" s="5">
        <v>9.90856544965598</v>
      </c>
      <c r="AN144" s="5">
        <v>-0.457885273814649</v>
      </c>
      <c r="AO144" s="5">
        <v>-1.28</v>
      </c>
      <c r="AP144" s="5">
        <v>176558.643253875</v>
      </c>
      <c r="AQ144" s="5">
        <v>3.26474212239717</v>
      </c>
      <c r="AR144" s="5">
        <v>0</v>
      </c>
      <c r="AS144" s="5">
        <v>0</v>
      </c>
      <c r="AT144" s="5">
        <v>0</v>
      </c>
      <c r="AU144" s="5">
        <v>0</v>
      </c>
      <c r="AV144" s="5">
        <v>0</v>
      </c>
      <c r="AW144" s="5">
        <v>0</v>
      </c>
      <c r="AX144" s="5">
        <v>4.55274987369036</v>
      </c>
      <c r="AY144" s="5">
        <v>-7.88274914441085</v>
      </c>
      <c r="AZ144" s="5">
        <v>1</v>
      </c>
      <c r="BA144" s="5">
        <v>1</v>
      </c>
    </row>
    <row r="145" spans="1:53">
      <c r="A145" t="s">
        <v>53</v>
      </c>
      <c r="B145" t="s">
        <v>78</v>
      </c>
      <c r="C145" t="s">
        <v>55</v>
      </c>
      <c r="D145" s="4" t="s">
        <v>63</v>
      </c>
      <c r="E145">
        <v>0.175781</v>
      </c>
      <c r="F145">
        <v>6.7</v>
      </c>
      <c r="G145">
        <v>1</v>
      </c>
      <c r="H145">
        <v>17</v>
      </c>
      <c r="I145">
        <v>44</v>
      </c>
      <c r="J145">
        <v>36</v>
      </c>
      <c r="K145">
        <v>20</v>
      </c>
      <c r="L145" t="s">
        <v>57</v>
      </c>
      <c r="M145" t="s">
        <v>58</v>
      </c>
      <c r="N145" t="s">
        <v>85</v>
      </c>
      <c r="O145">
        <v>0.262995595811</v>
      </c>
      <c r="P145">
        <f t="shared" si="5"/>
        <v>1.49615485070059</v>
      </c>
      <c r="Q145">
        <f t="shared" si="6"/>
        <v>0.402898384022109</v>
      </c>
      <c r="R145">
        <v>150</v>
      </c>
      <c r="S145" t="s">
        <v>60</v>
      </c>
      <c r="T145" t="s">
        <v>61</v>
      </c>
      <c r="U145" t="s">
        <v>62</v>
      </c>
      <c r="V145">
        <v>1</v>
      </c>
      <c r="W145">
        <v>0</v>
      </c>
      <c r="X145">
        <v>1</v>
      </c>
      <c r="Y145">
        <v>1</v>
      </c>
      <c r="Z145">
        <v>0</v>
      </c>
      <c r="AA145">
        <v>0</v>
      </c>
      <c r="AB145">
        <v>1</v>
      </c>
      <c r="AC145">
        <v>0</v>
      </c>
      <c r="AD145">
        <v>1</v>
      </c>
      <c r="AE145" s="5">
        <v>12.2120833333333</v>
      </c>
      <c r="AF145" s="5">
        <v>7.00097222222222</v>
      </c>
      <c r="AG145" s="5">
        <v>0.642528075697275</v>
      </c>
      <c r="AH145" s="5">
        <v>16.1176470588235</v>
      </c>
      <c r="AI145" s="5">
        <v>0.459694901747447</v>
      </c>
      <c r="AJ145" s="5">
        <v>-0.280752981483328</v>
      </c>
      <c r="AK145" s="5">
        <v>0.459694901747447</v>
      </c>
      <c r="AL145" s="5">
        <v>0.280752981483328</v>
      </c>
      <c r="AM145" s="5">
        <v>10.1452721658031</v>
      </c>
      <c r="AN145" s="5">
        <v>-0.382289160206052</v>
      </c>
      <c r="AO145" s="5">
        <v>-0.72</v>
      </c>
      <c r="AP145" s="5">
        <v>1212.20967645111</v>
      </c>
      <c r="AQ145" s="5">
        <v>2.16502218725737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4.55274987369036</v>
      </c>
      <c r="AY145" s="5">
        <v>-7.13430555555556</v>
      </c>
      <c r="AZ145" s="5">
        <v>1</v>
      </c>
      <c r="BA145" s="5">
        <v>1</v>
      </c>
    </row>
    <row r="146" spans="1:53">
      <c r="A146" t="s">
        <v>53</v>
      </c>
      <c r="B146" t="s">
        <v>78</v>
      </c>
      <c r="C146" t="s">
        <v>55</v>
      </c>
      <c r="D146" s="4" t="s">
        <v>65</v>
      </c>
      <c r="E146">
        <v>0.023437</v>
      </c>
      <c r="F146">
        <v>6.7</v>
      </c>
      <c r="G146">
        <v>1</v>
      </c>
      <c r="H146">
        <v>17</v>
      </c>
      <c r="I146">
        <v>44</v>
      </c>
      <c r="J146">
        <v>36</v>
      </c>
      <c r="K146">
        <v>20</v>
      </c>
      <c r="L146" t="s">
        <v>57</v>
      </c>
      <c r="M146" t="s">
        <v>58</v>
      </c>
      <c r="N146" t="s">
        <v>85</v>
      </c>
      <c r="O146">
        <v>0.1452363302</v>
      </c>
      <c r="P146">
        <f t="shared" si="5"/>
        <v>6.19688228868883</v>
      </c>
      <c r="Q146">
        <f t="shared" si="6"/>
        <v>1.82404630891314</v>
      </c>
      <c r="R146">
        <v>150</v>
      </c>
      <c r="S146" t="s">
        <v>60</v>
      </c>
      <c r="T146" t="s">
        <v>61</v>
      </c>
      <c r="U146" t="s">
        <v>62</v>
      </c>
      <c r="V146">
        <v>1</v>
      </c>
      <c r="W146">
        <v>0</v>
      </c>
      <c r="X146">
        <v>1</v>
      </c>
      <c r="Y146">
        <v>1</v>
      </c>
      <c r="Z146">
        <v>0</v>
      </c>
      <c r="AA146">
        <v>0</v>
      </c>
      <c r="AB146">
        <v>1</v>
      </c>
      <c r="AC146">
        <v>0</v>
      </c>
      <c r="AD146">
        <v>1</v>
      </c>
      <c r="AE146" s="5">
        <v>12.6956944444444</v>
      </c>
      <c r="AF146" s="5">
        <v>7.51923752834467</v>
      </c>
      <c r="AG146" s="5">
        <v>0.567423483996869</v>
      </c>
      <c r="AH146" s="5">
        <v>16.6086956521739</v>
      </c>
      <c r="AI146" s="5">
        <v>0.459647303367286</v>
      </c>
      <c r="AJ146" s="5">
        <v>-0.280752999575136</v>
      </c>
      <c r="AK146" s="5">
        <v>0.459647303367286</v>
      </c>
      <c r="AL146" s="5">
        <v>0.280752999575136</v>
      </c>
      <c r="AM146" s="5">
        <v>9.97962409166519</v>
      </c>
      <c r="AN146" s="5">
        <v>-0.433260944725331</v>
      </c>
      <c r="AO146" s="5">
        <v>-1</v>
      </c>
      <c r="AP146" s="5">
        <v>14934.5346948423</v>
      </c>
      <c r="AQ146" s="5">
        <v>2.69882520469918</v>
      </c>
      <c r="AR146" s="5">
        <v>0</v>
      </c>
      <c r="AS146" s="5">
        <v>0</v>
      </c>
      <c r="AT146" s="5">
        <v>0</v>
      </c>
      <c r="AU146" s="5">
        <v>0</v>
      </c>
      <c r="AV146" s="5">
        <v>0</v>
      </c>
      <c r="AW146" s="5">
        <v>0</v>
      </c>
      <c r="AX146" s="5">
        <v>4.55274987369036</v>
      </c>
      <c r="AY146" s="5">
        <v>-7.5938637329932</v>
      </c>
      <c r="AZ146" s="5">
        <v>1</v>
      </c>
      <c r="BA146" s="5">
        <v>1</v>
      </c>
    </row>
    <row r="147" spans="1:53">
      <c r="A147" t="s">
        <v>53</v>
      </c>
      <c r="B147" t="s">
        <v>78</v>
      </c>
      <c r="C147" t="s">
        <v>55</v>
      </c>
      <c r="D147" s="4" t="s">
        <v>66</v>
      </c>
      <c r="E147">
        <v>0.152344</v>
      </c>
      <c r="F147">
        <v>6.7</v>
      </c>
      <c r="G147">
        <v>1</v>
      </c>
      <c r="H147">
        <v>17</v>
      </c>
      <c r="I147">
        <v>44</v>
      </c>
      <c r="J147">
        <v>36</v>
      </c>
      <c r="K147">
        <v>20</v>
      </c>
      <c r="L147" t="s">
        <v>57</v>
      </c>
      <c r="M147" t="s">
        <v>58</v>
      </c>
      <c r="N147" t="s">
        <v>85</v>
      </c>
      <c r="O147">
        <v>0.64767482468</v>
      </c>
      <c r="P147">
        <f t="shared" si="5"/>
        <v>4.25139700073518</v>
      </c>
      <c r="Q147">
        <f t="shared" si="6"/>
        <v>1.44724763497966</v>
      </c>
      <c r="R147">
        <v>150</v>
      </c>
      <c r="S147" t="s">
        <v>60</v>
      </c>
      <c r="T147" t="s">
        <v>61</v>
      </c>
      <c r="U147" t="s">
        <v>62</v>
      </c>
      <c r="V147">
        <v>1</v>
      </c>
      <c r="W147">
        <v>0</v>
      </c>
      <c r="X147">
        <v>1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1</v>
      </c>
      <c r="AE147" s="5">
        <v>12.8254166666667</v>
      </c>
      <c r="AF147" s="5">
        <v>4.27882137345679</v>
      </c>
      <c r="AG147" s="5">
        <v>0.653062667189842</v>
      </c>
      <c r="AH147" s="5">
        <v>16.12</v>
      </c>
      <c r="AI147" s="5">
        <v>0.459647294455008</v>
      </c>
      <c r="AJ147" s="5">
        <v>-0.47662745733429</v>
      </c>
      <c r="AK147" s="5">
        <v>0.47662745733429</v>
      </c>
      <c r="AL147" s="5">
        <v>0.459647294455008</v>
      </c>
      <c r="AM147" s="5">
        <v>9.90907137329749</v>
      </c>
      <c r="AN147" s="5">
        <v>-0.449718247791216</v>
      </c>
      <c r="AO147" s="5">
        <v>-1.58</v>
      </c>
      <c r="AP147" s="5">
        <v>39741.8973369129</v>
      </c>
      <c r="AQ147" s="5">
        <v>2.73920148528388</v>
      </c>
      <c r="AR147" s="5">
        <v>0</v>
      </c>
      <c r="AS147" s="5">
        <v>4.79453718407182</v>
      </c>
      <c r="AT147" s="5">
        <v>0</v>
      </c>
      <c r="AU147" s="5">
        <v>0</v>
      </c>
      <c r="AV147" s="5">
        <v>0</v>
      </c>
      <c r="AW147" s="5">
        <v>0</v>
      </c>
      <c r="AX147" s="5">
        <v>5.10652739484071</v>
      </c>
      <c r="AY147" s="5">
        <v>-7.69383775037793</v>
      </c>
      <c r="AZ147" s="5">
        <v>0.875</v>
      </c>
      <c r="BA147" s="5">
        <v>1</v>
      </c>
    </row>
    <row r="148" spans="1:53">
      <c r="A148" t="s">
        <v>53</v>
      </c>
      <c r="B148" t="s">
        <v>78</v>
      </c>
      <c r="C148" t="s">
        <v>55</v>
      </c>
      <c r="D148" s="4" t="s">
        <v>67</v>
      </c>
      <c r="E148">
        <v>0.0234369999999999</v>
      </c>
      <c r="F148">
        <v>6.7</v>
      </c>
      <c r="G148">
        <v>1</v>
      </c>
      <c r="H148">
        <v>17</v>
      </c>
      <c r="I148">
        <v>44</v>
      </c>
      <c r="J148">
        <v>36</v>
      </c>
      <c r="K148">
        <v>20</v>
      </c>
      <c r="L148" t="s">
        <v>57</v>
      </c>
      <c r="M148" t="s">
        <v>58</v>
      </c>
      <c r="N148" t="s">
        <v>85</v>
      </c>
      <c r="O148">
        <v>1.26787680487</v>
      </c>
      <c r="P148">
        <f t="shared" si="5"/>
        <v>54.09723108205</v>
      </c>
      <c r="Q148">
        <f t="shared" si="6"/>
        <v>3.9907830030648</v>
      </c>
      <c r="R148">
        <v>150</v>
      </c>
      <c r="S148" t="s">
        <v>60</v>
      </c>
      <c r="T148" t="s">
        <v>61</v>
      </c>
      <c r="U148" t="s">
        <v>62</v>
      </c>
      <c r="V148">
        <v>1</v>
      </c>
      <c r="W148">
        <v>0</v>
      </c>
      <c r="X148">
        <v>1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1</v>
      </c>
      <c r="AE148" s="5">
        <v>13.0371419123205</v>
      </c>
      <c r="AF148" s="5">
        <v>7.66829457707096</v>
      </c>
      <c r="AG148" s="5">
        <v>0.402493807679921</v>
      </c>
      <c r="AH148" s="5">
        <v>16.8965517241379</v>
      </c>
      <c r="AI148" s="5">
        <v>0.459647294440031</v>
      </c>
      <c r="AJ148" s="5">
        <v>-0.280752999575314</v>
      </c>
      <c r="AK148" s="5">
        <v>0.459647294440031</v>
      </c>
      <c r="AL148" s="5">
        <v>0.280752999575314</v>
      </c>
      <c r="AM148" s="5">
        <v>9.90856544965598</v>
      </c>
      <c r="AN148" s="5">
        <v>-0.457885273814649</v>
      </c>
      <c r="AO148" s="5">
        <v>-1.28</v>
      </c>
      <c r="AP148" s="5">
        <v>176558.643253875</v>
      </c>
      <c r="AQ148" s="5">
        <v>3.26474212239717</v>
      </c>
      <c r="AR148" s="5">
        <v>0</v>
      </c>
      <c r="AS148" s="5">
        <v>0</v>
      </c>
      <c r="AT148" s="5">
        <v>0</v>
      </c>
      <c r="AU148" s="5">
        <v>0</v>
      </c>
      <c r="AV148" s="5">
        <v>0</v>
      </c>
      <c r="AW148" s="5">
        <v>0</v>
      </c>
      <c r="AX148" s="5">
        <v>4.55274987369036</v>
      </c>
      <c r="AY148" s="5">
        <v>-7.88274914441085</v>
      </c>
      <c r="AZ148" s="5">
        <v>1</v>
      </c>
      <c r="BA148" s="5">
        <v>1</v>
      </c>
    </row>
    <row r="149" spans="1:53">
      <c r="A149" t="s">
        <v>53</v>
      </c>
      <c r="B149" t="s">
        <v>79</v>
      </c>
      <c r="C149" t="s">
        <v>55</v>
      </c>
      <c r="D149" s="4" t="s">
        <v>63</v>
      </c>
      <c r="E149">
        <v>0.058594</v>
      </c>
      <c r="F149">
        <v>6.7</v>
      </c>
      <c r="G149">
        <v>1</v>
      </c>
      <c r="H149">
        <v>17</v>
      </c>
      <c r="I149">
        <v>44</v>
      </c>
      <c r="J149">
        <v>36</v>
      </c>
      <c r="K149">
        <v>20</v>
      </c>
      <c r="L149" t="s">
        <v>57</v>
      </c>
      <c r="M149" t="s">
        <v>58</v>
      </c>
      <c r="N149" t="s">
        <v>85</v>
      </c>
      <c r="O149">
        <v>0.24473038248</v>
      </c>
      <c r="P149">
        <f t="shared" si="5"/>
        <v>4.17671404034543</v>
      </c>
      <c r="Q149">
        <f t="shared" si="6"/>
        <v>1.42952482263654</v>
      </c>
      <c r="R149">
        <v>150</v>
      </c>
      <c r="S149" t="s">
        <v>60</v>
      </c>
      <c r="T149" t="s">
        <v>61</v>
      </c>
      <c r="U149" t="s">
        <v>62</v>
      </c>
      <c r="V149">
        <v>1</v>
      </c>
      <c r="W149">
        <v>0</v>
      </c>
      <c r="X149">
        <v>1</v>
      </c>
      <c r="Y149">
        <v>1</v>
      </c>
      <c r="Z149">
        <v>0</v>
      </c>
      <c r="AA149">
        <v>0</v>
      </c>
      <c r="AB149">
        <v>1</v>
      </c>
      <c r="AC149">
        <v>0</v>
      </c>
      <c r="AD149">
        <v>1</v>
      </c>
      <c r="AE149" s="5">
        <v>12.2120833333333</v>
      </c>
      <c r="AF149" s="5">
        <v>7.00097222222222</v>
      </c>
      <c r="AG149" s="5">
        <v>0.642528075697275</v>
      </c>
      <c r="AH149" s="5">
        <v>16.1176470588235</v>
      </c>
      <c r="AI149" s="5">
        <v>0.459694901747447</v>
      </c>
      <c r="AJ149" s="5">
        <v>-0.280752981483328</v>
      </c>
      <c r="AK149" s="5">
        <v>0.459694901747447</v>
      </c>
      <c r="AL149" s="5">
        <v>0.280752981483328</v>
      </c>
      <c r="AM149" s="5">
        <v>10.1452721658031</v>
      </c>
      <c r="AN149" s="5">
        <v>-0.382289160206052</v>
      </c>
      <c r="AO149" s="5">
        <v>-0.72</v>
      </c>
      <c r="AP149" s="5">
        <v>1212.20967645111</v>
      </c>
      <c r="AQ149" s="5">
        <v>2.16502218725737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4.55274987369036</v>
      </c>
      <c r="AY149" s="5">
        <v>-7.13430555555556</v>
      </c>
      <c r="AZ149" s="5">
        <v>1</v>
      </c>
      <c r="BA149" s="5">
        <v>1</v>
      </c>
    </row>
    <row r="150" spans="1:53">
      <c r="A150" t="s">
        <v>53</v>
      </c>
      <c r="B150" t="s">
        <v>79</v>
      </c>
      <c r="C150" t="s">
        <v>55</v>
      </c>
      <c r="D150" s="4" t="s">
        <v>65</v>
      </c>
      <c r="E150">
        <v>0.09375</v>
      </c>
      <c r="F150">
        <v>6.7</v>
      </c>
      <c r="G150">
        <v>1</v>
      </c>
      <c r="H150">
        <v>17</v>
      </c>
      <c r="I150">
        <v>44</v>
      </c>
      <c r="J150">
        <v>36</v>
      </c>
      <c r="K150">
        <v>20</v>
      </c>
      <c r="L150" t="s">
        <v>57</v>
      </c>
      <c r="M150" t="s">
        <v>58</v>
      </c>
      <c r="N150" t="s">
        <v>85</v>
      </c>
      <c r="O150">
        <v>0.1835493048</v>
      </c>
      <c r="P150">
        <f t="shared" si="5"/>
        <v>1.9578592512</v>
      </c>
      <c r="Q150">
        <f t="shared" si="6"/>
        <v>0.671851657561315</v>
      </c>
      <c r="R150">
        <v>150</v>
      </c>
      <c r="S150" t="s">
        <v>60</v>
      </c>
      <c r="T150" t="s">
        <v>61</v>
      </c>
      <c r="U150" t="s">
        <v>62</v>
      </c>
      <c r="V150">
        <v>1</v>
      </c>
      <c r="W150">
        <v>0</v>
      </c>
      <c r="X150">
        <v>1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1</v>
      </c>
      <c r="AE150" s="5">
        <v>12.6956944444444</v>
      </c>
      <c r="AF150" s="5">
        <v>7.51923752834467</v>
      </c>
      <c r="AG150" s="5">
        <v>0.567423483996869</v>
      </c>
      <c r="AH150" s="5">
        <v>16.6086956521739</v>
      </c>
      <c r="AI150" s="5">
        <v>0.459647303367286</v>
      </c>
      <c r="AJ150" s="5">
        <v>-0.280752999575136</v>
      </c>
      <c r="AK150" s="5">
        <v>0.459647303367286</v>
      </c>
      <c r="AL150" s="5">
        <v>0.280752999575136</v>
      </c>
      <c r="AM150" s="5">
        <v>9.97962409166519</v>
      </c>
      <c r="AN150" s="5">
        <v>-0.433260944725331</v>
      </c>
      <c r="AO150" s="5">
        <v>-1</v>
      </c>
      <c r="AP150" s="5">
        <v>14934.5346948423</v>
      </c>
      <c r="AQ150" s="5">
        <v>2.69882520469918</v>
      </c>
      <c r="AR150" s="5">
        <v>0</v>
      </c>
      <c r="AS150" s="5">
        <v>0</v>
      </c>
      <c r="AT150" s="5">
        <v>0</v>
      </c>
      <c r="AU150" s="5">
        <v>0</v>
      </c>
      <c r="AV150" s="5">
        <v>0</v>
      </c>
      <c r="AW150" s="5">
        <v>0</v>
      </c>
      <c r="AX150" s="5">
        <v>4.55274987369036</v>
      </c>
      <c r="AY150" s="5">
        <v>-7.5938637329932</v>
      </c>
      <c r="AZ150" s="5">
        <v>1</v>
      </c>
      <c r="BA150" s="5">
        <v>1</v>
      </c>
    </row>
    <row r="151" spans="1:53">
      <c r="A151" t="s">
        <v>53</v>
      </c>
      <c r="B151" t="s">
        <v>79</v>
      </c>
      <c r="C151" t="s">
        <v>55</v>
      </c>
      <c r="D151" s="4" t="s">
        <v>66</v>
      </c>
      <c r="E151">
        <v>0.433593</v>
      </c>
      <c r="F151">
        <v>6.7</v>
      </c>
      <c r="G151">
        <v>1</v>
      </c>
      <c r="H151">
        <v>17</v>
      </c>
      <c r="I151">
        <v>44</v>
      </c>
      <c r="J151">
        <v>36</v>
      </c>
      <c r="K151">
        <v>20</v>
      </c>
      <c r="L151" t="s">
        <v>57</v>
      </c>
      <c r="M151" t="s">
        <v>58</v>
      </c>
      <c r="N151" t="s">
        <v>85</v>
      </c>
      <c r="O151">
        <v>0.6852419676</v>
      </c>
      <c r="P151">
        <f t="shared" si="5"/>
        <v>1.58038060485294</v>
      </c>
      <c r="Q151">
        <f t="shared" si="6"/>
        <v>0.457665707177172</v>
      </c>
      <c r="R151">
        <v>150</v>
      </c>
      <c r="S151" t="s">
        <v>60</v>
      </c>
      <c r="T151" t="s">
        <v>61</v>
      </c>
      <c r="U151" t="s">
        <v>62</v>
      </c>
      <c r="V151">
        <v>1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1</v>
      </c>
      <c r="AE151" s="5">
        <v>12.8254166666667</v>
      </c>
      <c r="AF151" s="5">
        <v>4.27882137345679</v>
      </c>
      <c r="AG151" s="5">
        <v>0.653062667189842</v>
      </c>
      <c r="AH151" s="5">
        <v>16.12</v>
      </c>
      <c r="AI151" s="5">
        <v>0.459647294455008</v>
      </c>
      <c r="AJ151" s="5">
        <v>-0.47662745733429</v>
      </c>
      <c r="AK151" s="5">
        <v>0.47662745733429</v>
      </c>
      <c r="AL151" s="5">
        <v>0.459647294455008</v>
      </c>
      <c r="AM151" s="5">
        <v>9.90907137329749</v>
      </c>
      <c r="AN151" s="5">
        <v>-0.449718247791216</v>
      </c>
      <c r="AO151" s="5">
        <v>-1.58</v>
      </c>
      <c r="AP151" s="5">
        <v>39741.8973369129</v>
      </c>
      <c r="AQ151" s="5">
        <v>2.73920148528388</v>
      </c>
      <c r="AR151" s="5">
        <v>0</v>
      </c>
      <c r="AS151" s="5">
        <v>4.79453718407182</v>
      </c>
      <c r="AT151" s="5">
        <v>0</v>
      </c>
      <c r="AU151" s="5">
        <v>0</v>
      </c>
      <c r="AV151" s="5">
        <v>0</v>
      </c>
      <c r="AW151" s="5">
        <v>0</v>
      </c>
      <c r="AX151" s="5">
        <v>5.10652739484071</v>
      </c>
      <c r="AY151" s="5">
        <v>-7.69383775037793</v>
      </c>
      <c r="AZ151" s="5">
        <v>0.875</v>
      </c>
      <c r="BA151" s="5">
        <v>1</v>
      </c>
    </row>
    <row r="152" spans="1:53">
      <c r="A152" t="s">
        <v>53</v>
      </c>
      <c r="B152" t="s">
        <v>79</v>
      </c>
      <c r="C152" t="s">
        <v>55</v>
      </c>
      <c r="D152" s="4" t="s">
        <v>67</v>
      </c>
      <c r="E152">
        <v>0.126157</v>
      </c>
      <c r="F152">
        <v>6.7</v>
      </c>
      <c r="G152">
        <v>1</v>
      </c>
      <c r="H152">
        <v>17</v>
      </c>
      <c r="I152">
        <v>44</v>
      </c>
      <c r="J152">
        <v>36</v>
      </c>
      <c r="K152">
        <v>20</v>
      </c>
      <c r="L152" t="s">
        <v>57</v>
      </c>
      <c r="M152" t="s">
        <v>58</v>
      </c>
      <c r="N152" t="s">
        <v>85</v>
      </c>
      <c r="O152">
        <v>1.1706285816</v>
      </c>
      <c r="P152">
        <f t="shared" si="5"/>
        <v>9.27914092440372</v>
      </c>
      <c r="Q152">
        <f t="shared" si="6"/>
        <v>2.22776896971166</v>
      </c>
      <c r="R152">
        <v>150</v>
      </c>
      <c r="S152" t="s">
        <v>60</v>
      </c>
      <c r="T152" t="s">
        <v>61</v>
      </c>
      <c r="U152" t="s">
        <v>62</v>
      </c>
      <c r="V152">
        <v>1</v>
      </c>
      <c r="W152">
        <v>0</v>
      </c>
      <c r="X152">
        <v>1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1</v>
      </c>
      <c r="AE152" s="5">
        <v>13.0371419123205</v>
      </c>
      <c r="AF152" s="5">
        <v>7.66829457707096</v>
      </c>
      <c r="AG152" s="5">
        <v>0.402493807679921</v>
      </c>
      <c r="AH152" s="5">
        <v>16.8965517241379</v>
      </c>
      <c r="AI152" s="5">
        <v>0.459647294440031</v>
      </c>
      <c r="AJ152" s="5">
        <v>-0.280752999575314</v>
      </c>
      <c r="AK152" s="5">
        <v>0.459647294440031</v>
      </c>
      <c r="AL152" s="5">
        <v>0.280752999575314</v>
      </c>
      <c r="AM152" s="5">
        <v>9.90856544965598</v>
      </c>
      <c r="AN152" s="5">
        <v>-0.457885273814649</v>
      </c>
      <c r="AO152" s="5">
        <v>-1.28</v>
      </c>
      <c r="AP152" s="5">
        <v>176558.643253875</v>
      </c>
      <c r="AQ152" s="5">
        <v>3.26474212239717</v>
      </c>
      <c r="AR152" s="5">
        <v>0</v>
      </c>
      <c r="AS152" s="5">
        <v>0</v>
      </c>
      <c r="AT152" s="5">
        <v>0</v>
      </c>
      <c r="AU152" s="5">
        <v>0</v>
      </c>
      <c r="AV152" s="5">
        <v>0</v>
      </c>
      <c r="AW152" s="5">
        <v>0</v>
      </c>
      <c r="AX152" s="5">
        <v>4.55274987369036</v>
      </c>
      <c r="AY152" s="5">
        <v>-7.88274914441085</v>
      </c>
      <c r="AZ152" s="5">
        <v>1</v>
      </c>
      <c r="BA152" s="5">
        <v>1</v>
      </c>
    </row>
    <row r="153" spans="1:53">
      <c r="A153" t="s">
        <v>53</v>
      </c>
      <c r="B153" t="s">
        <v>80</v>
      </c>
      <c r="C153" t="s">
        <v>55</v>
      </c>
      <c r="D153" s="4" t="s">
        <v>65</v>
      </c>
      <c r="E153">
        <v>0.058594</v>
      </c>
      <c r="F153">
        <v>6.7</v>
      </c>
      <c r="G153">
        <v>1</v>
      </c>
      <c r="H153">
        <v>17</v>
      </c>
      <c r="I153">
        <v>44</v>
      </c>
      <c r="J153">
        <v>36</v>
      </c>
      <c r="K153">
        <v>20</v>
      </c>
      <c r="L153" t="s">
        <v>57</v>
      </c>
      <c r="M153" t="s">
        <v>58</v>
      </c>
      <c r="N153" t="s">
        <v>85</v>
      </c>
      <c r="O153">
        <v>0.159104004553</v>
      </c>
      <c r="P153">
        <f t="shared" si="5"/>
        <v>2.71536342548725</v>
      </c>
      <c r="Q153">
        <f t="shared" si="6"/>
        <v>0.998925802802344</v>
      </c>
      <c r="R153">
        <v>150</v>
      </c>
      <c r="S153" t="s">
        <v>60</v>
      </c>
      <c r="T153" t="s">
        <v>61</v>
      </c>
      <c r="U153" t="s">
        <v>62</v>
      </c>
      <c r="V153">
        <v>1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1</v>
      </c>
      <c r="AE153" s="5">
        <v>12.6956944444444</v>
      </c>
      <c r="AF153" s="5">
        <v>7.51923752834467</v>
      </c>
      <c r="AG153" s="5">
        <v>0.567423483996869</v>
      </c>
      <c r="AH153" s="5">
        <v>16.6086956521739</v>
      </c>
      <c r="AI153" s="5">
        <v>0.459647303367286</v>
      </c>
      <c r="AJ153" s="5">
        <v>-0.280752999575136</v>
      </c>
      <c r="AK153" s="5">
        <v>0.459647303367286</v>
      </c>
      <c r="AL153" s="5">
        <v>0.280752999575136</v>
      </c>
      <c r="AM153" s="5">
        <v>9.97962409166519</v>
      </c>
      <c r="AN153" s="5">
        <v>-0.433260944725331</v>
      </c>
      <c r="AO153" s="5">
        <v>-1</v>
      </c>
      <c r="AP153" s="5">
        <v>14934.5346948423</v>
      </c>
      <c r="AQ153" s="5">
        <v>2.69882520469918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4.55274987369036</v>
      </c>
      <c r="AY153" s="5">
        <v>-7.5938637329932</v>
      </c>
      <c r="AZ153" s="5">
        <v>1</v>
      </c>
      <c r="BA153" s="5">
        <v>1</v>
      </c>
    </row>
    <row r="154" spans="1:53">
      <c r="A154" t="s">
        <v>53</v>
      </c>
      <c r="B154" t="s">
        <v>80</v>
      </c>
      <c r="C154" t="s">
        <v>55</v>
      </c>
      <c r="D154" s="4" t="s">
        <v>66</v>
      </c>
      <c r="E154">
        <v>0.351563</v>
      </c>
      <c r="F154">
        <v>6.7</v>
      </c>
      <c r="G154">
        <v>1</v>
      </c>
      <c r="H154">
        <v>17</v>
      </c>
      <c r="I154">
        <v>44</v>
      </c>
      <c r="J154">
        <v>36</v>
      </c>
      <c r="K154">
        <v>20</v>
      </c>
      <c r="L154" t="s">
        <v>57</v>
      </c>
      <c r="M154" t="s">
        <v>58</v>
      </c>
      <c r="N154" t="s">
        <v>85</v>
      </c>
      <c r="O154">
        <v>0.64636010416</v>
      </c>
      <c r="P154">
        <f t="shared" si="5"/>
        <v>1.83853279258625</v>
      </c>
      <c r="Q154">
        <f t="shared" si="6"/>
        <v>0.60896785819857</v>
      </c>
      <c r="R154">
        <v>150</v>
      </c>
      <c r="S154" t="s">
        <v>60</v>
      </c>
      <c r="T154" t="s">
        <v>61</v>
      </c>
      <c r="U154" t="s">
        <v>62</v>
      </c>
      <c r="V154">
        <v>1</v>
      </c>
      <c r="W154">
        <v>0</v>
      </c>
      <c r="X154">
        <v>1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1</v>
      </c>
      <c r="AE154" s="5">
        <v>12.8254166666667</v>
      </c>
      <c r="AF154" s="5">
        <v>4.27882137345679</v>
      </c>
      <c r="AG154" s="5">
        <v>0.653062667189842</v>
      </c>
      <c r="AH154" s="5">
        <v>16.12</v>
      </c>
      <c r="AI154" s="5">
        <v>0.459647294455008</v>
      </c>
      <c r="AJ154" s="5">
        <v>-0.47662745733429</v>
      </c>
      <c r="AK154" s="5">
        <v>0.47662745733429</v>
      </c>
      <c r="AL154" s="5">
        <v>0.459647294455008</v>
      </c>
      <c r="AM154" s="5">
        <v>9.90907137329749</v>
      </c>
      <c r="AN154" s="5">
        <v>-0.449718247791216</v>
      </c>
      <c r="AO154" s="5">
        <v>-1.58</v>
      </c>
      <c r="AP154" s="5">
        <v>39741.8973369129</v>
      </c>
      <c r="AQ154" s="5">
        <v>2.73920148528388</v>
      </c>
      <c r="AR154" s="5">
        <v>0</v>
      </c>
      <c r="AS154" s="5">
        <v>4.79453718407182</v>
      </c>
      <c r="AT154" s="5">
        <v>0</v>
      </c>
      <c r="AU154" s="5">
        <v>0</v>
      </c>
      <c r="AV154" s="5">
        <v>0</v>
      </c>
      <c r="AW154" s="5">
        <v>0</v>
      </c>
      <c r="AX154" s="5">
        <v>5.10652739484071</v>
      </c>
      <c r="AY154" s="5">
        <v>-7.69383775037793</v>
      </c>
      <c r="AZ154" s="5">
        <v>0.875</v>
      </c>
      <c r="BA154" s="5">
        <v>1</v>
      </c>
    </row>
    <row r="155" spans="1:53">
      <c r="A155" t="s">
        <v>53</v>
      </c>
      <c r="B155" t="s">
        <v>80</v>
      </c>
      <c r="C155" t="s">
        <v>55</v>
      </c>
      <c r="D155" s="4" t="s">
        <v>67</v>
      </c>
      <c r="E155">
        <v>0.0234369999999999</v>
      </c>
      <c r="F155">
        <v>6.7</v>
      </c>
      <c r="G155">
        <v>1</v>
      </c>
      <c r="H155">
        <v>17</v>
      </c>
      <c r="I155">
        <v>44</v>
      </c>
      <c r="J155">
        <v>36</v>
      </c>
      <c r="K155">
        <v>20</v>
      </c>
      <c r="L155" t="s">
        <v>57</v>
      </c>
      <c r="M155" t="s">
        <v>58</v>
      </c>
      <c r="N155" t="s">
        <v>85</v>
      </c>
      <c r="O155">
        <v>1.01760214183</v>
      </c>
      <c r="P155">
        <f t="shared" si="5"/>
        <v>43.41861764859</v>
      </c>
      <c r="Q155">
        <f t="shared" si="6"/>
        <v>3.77088832719968</v>
      </c>
      <c r="R155">
        <v>150</v>
      </c>
      <c r="S155" t="s">
        <v>60</v>
      </c>
      <c r="T155" t="s">
        <v>61</v>
      </c>
      <c r="U155" t="s">
        <v>62</v>
      </c>
      <c r="V155">
        <v>1</v>
      </c>
      <c r="W155">
        <v>0</v>
      </c>
      <c r="X155">
        <v>1</v>
      </c>
      <c r="Y155">
        <v>1</v>
      </c>
      <c r="Z155">
        <v>0</v>
      </c>
      <c r="AA155">
        <v>0</v>
      </c>
      <c r="AB155">
        <v>1</v>
      </c>
      <c r="AC155">
        <v>0</v>
      </c>
      <c r="AD155">
        <v>1</v>
      </c>
      <c r="AE155" s="5">
        <v>13.0371419123205</v>
      </c>
      <c r="AF155" s="5">
        <v>7.66829457707096</v>
      </c>
      <c r="AG155" s="5">
        <v>0.402493807679921</v>
      </c>
      <c r="AH155" s="5">
        <v>16.8965517241379</v>
      </c>
      <c r="AI155" s="5">
        <v>0.459647294440031</v>
      </c>
      <c r="AJ155" s="5">
        <v>-0.280752999575314</v>
      </c>
      <c r="AK155" s="5">
        <v>0.459647294440031</v>
      </c>
      <c r="AL155" s="5">
        <v>0.280752999575314</v>
      </c>
      <c r="AM155" s="5">
        <v>9.90856544965598</v>
      </c>
      <c r="AN155" s="5">
        <v>-0.457885273814649</v>
      </c>
      <c r="AO155" s="5">
        <v>-1.28</v>
      </c>
      <c r="AP155" s="5">
        <v>176558.643253875</v>
      </c>
      <c r="AQ155" s="5">
        <v>3.26474212239717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4.55274987369036</v>
      </c>
      <c r="AY155" s="5">
        <v>-7.88274914441085</v>
      </c>
      <c r="AZ155" s="5">
        <v>1</v>
      </c>
      <c r="BA155" s="5">
        <v>1</v>
      </c>
    </row>
    <row r="156" spans="1:53">
      <c r="A156" t="s">
        <v>53</v>
      </c>
      <c r="B156" t="s">
        <v>81</v>
      </c>
      <c r="C156" t="s">
        <v>55</v>
      </c>
      <c r="D156" s="4" t="s">
        <v>65</v>
      </c>
      <c r="E156">
        <v>0.0234380000000001</v>
      </c>
      <c r="F156">
        <v>6.7</v>
      </c>
      <c r="G156">
        <v>1</v>
      </c>
      <c r="H156">
        <v>17</v>
      </c>
      <c r="I156">
        <v>44</v>
      </c>
      <c r="J156">
        <v>36</v>
      </c>
      <c r="K156">
        <v>20</v>
      </c>
      <c r="L156" t="s">
        <v>57</v>
      </c>
      <c r="M156" t="s">
        <v>58</v>
      </c>
      <c r="N156" t="s">
        <v>85</v>
      </c>
      <c r="O156">
        <v>0.137696702598</v>
      </c>
      <c r="P156">
        <f t="shared" si="5"/>
        <v>5.87493397892309</v>
      </c>
      <c r="Q156">
        <f t="shared" si="6"/>
        <v>1.77069482233697</v>
      </c>
      <c r="R156">
        <v>150</v>
      </c>
      <c r="S156" t="s">
        <v>60</v>
      </c>
      <c r="T156" t="s">
        <v>61</v>
      </c>
      <c r="U156" t="s">
        <v>62</v>
      </c>
      <c r="V156">
        <v>1</v>
      </c>
      <c r="W156">
        <v>0</v>
      </c>
      <c r="X156">
        <v>1</v>
      </c>
      <c r="Y156">
        <v>1</v>
      </c>
      <c r="Z156">
        <v>0</v>
      </c>
      <c r="AA156">
        <v>0</v>
      </c>
      <c r="AB156">
        <v>1</v>
      </c>
      <c r="AC156">
        <v>0</v>
      </c>
      <c r="AD156">
        <v>1</v>
      </c>
      <c r="AE156" s="5">
        <v>12.6956944444444</v>
      </c>
      <c r="AF156" s="5">
        <v>7.51923752834467</v>
      </c>
      <c r="AG156" s="5">
        <v>0.567423483996869</v>
      </c>
      <c r="AH156" s="5">
        <v>16.6086956521739</v>
      </c>
      <c r="AI156" s="5">
        <v>0.459647303367286</v>
      </c>
      <c r="AJ156" s="5">
        <v>-0.280752999575136</v>
      </c>
      <c r="AK156" s="5">
        <v>0.459647303367286</v>
      </c>
      <c r="AL156" s="5">
        <v>0.280752999575136</v>
      </c>
      <c r="AM156" s="5">
        <v>9.97962409166519</v>
      </c>
      <c r="AN156" s="5">
        <v>-0.433260944725331</v>
      </c>
      <c r="AO156" s="5">
        <v>-1</v>
      </c>
      <c r="AP156" s="5">
        <v>14934.5346948423</v>
      </c>
      <c r="AQ156" s="5">
        <v>2.69882520469918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4.55274987369036</v>
      </c>
      <c r="AY156" s="5">
        <v>-7.5938637329932</v>
      </c>
      <c r="AZ156" s="5">
        <v>1</v>
      </c>
      <c r="BA156" s="5">
        <v>1</v>
      </c>
    </row>
    <row r="157" spans="1:53">
      <c r="A157" t="s">
        <v>53</v>
      </c>
      <c r="B157" t="s">
        <v>81</v>
      </c>
      <c r="C157" t="s">
        <v>55</v>
      </c>
      <c r="D157" s="4" t="s">
        <v>66</v>
      </c>
      <c r="E157">
        <v>0.562496</v>
      </c>
      <c r="F157">
        <v>6.7</v>
      </c>
      <c r="G157">
        <v>1</v>
      </c>
      <c r="H157">
        <v>17</v>
      </c>
      <c r="I157">
        <v>44</v>
      </c>
      <c r="J157">
        <v>36</v>
      </c>
      <c r="K157">
        <v>20</v>
      </c>
      <c r="L157" t="s">
        <v>57</v>
      </c>
      <c r="M157" t="s">
        <v>58</v>
      </c>
      <c r="N157" t="s">
        <v>85</v>
      </c>
      <c r="O157">
        <v>0.5507933899</v>
      </c>
      <c r="P157">
        <f t="shared" si="5"/>
        <v>0.979195211877062</v>
      </c>
      <c r="Q157">
        <f t="shared" si="6"/>
        <v>-0.0210242570674622</v>
      </c>
      <c r="R157">
        <v>150</v>
      </c>
      <c r="S157" t="s">
        <v>60</v>
      </c>
      <c r="T157" t="s">
        <v>61</v>
      </c>
      <c r="U157" t="s">
        <v>62</v>
      </c>
      <c r="V157">
        <v>1</v>
      </c>
      <c r="W157">
        <v>0</v>
      </c>
      <c r="X157">
        <v>1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1</v>
      </c>
      <c r="AE157" s="5">
        <v>12.8254166666667</v>
      </c>
      <c r="AF157" s="5">
        <v>4.27882137345679</v>
      </c>
      <c r="AG157" s="5">
        <v>0.653062667189842</v>
      </c>
      <c r="AH157" s="5">
        <v>16.12</v>
      </c>
      <c r="AI157" s="5">
        <v>0.459647294455008</v>
      </c>
      <c r="AJ157" s="5">
        <v>-0.47662745733429</v>
      </c>
      <c r="AK157" s="5">
        <v>0.47662745733429</v>
      </c>
      <c r="AL157" s="5">
        <v>0.459647294455008</v>
      </c>
      <c r="AM157" s="5">
        <v>9.90907137329749</v>
      </c>
      <c r="AN157" s="5">
        <v>-0.449718247791216</v>
      </c>
      <c r="AO157" s="5">
        <v>-1.58</v>
      </c>
      <c r="AP157" s="5">
        <v>39741.8973369129</v>
      </c>
      <c r="AQ157" s="5">
        <v>2.73920148528388</v>
      </c>
      <c r="AR157" s="5">
        <v>0</v>
      </c>
      <c r="AS157" s="5">
        <v>4.79453718407182</v>
      </c>
      <c r="AT157" s="5">
        <v>0</v>
      </c>
      <c r="AU157" s="5">
        <v>0</v>
      </c>
      <c r="AV157" s="5">
        <v>0</v>
      </c>
      <c r="AW157" s="5">
        <v>0</v>
      </c>
      <c r="AX157" s="5">
        <v>5.10652739484071</v>
      </c>
      <c r="AY157" s="5">
        <v>-7.69383775037793</v>
      </c>
      <c r="AZ157" s="5">
        <v>0.875</v>
      </c>
      <c r="BA157" s="5">
        <v>1</v>
      </c>
    </row>
    <row r="158" spans="1:53">
      <c r="A158" t="s">
        <v>53</v>
      </c>
      <c r="B158" t="s">
        <v>81</v>
      </c>
      <c r="C158" t="s">
        <v>55</v>
      </c>
      <c r="D158" s="4" t="s">
        <v>67</v>
      </c>
      <c r="E158">
        <v>0.0234400000000001</v>
      </c>
      <c r="F158">
        <v>6.7</v>
      </c>
      <c r="G158">
        <v>1</v>
      </c>
      <c r="H158">
        <v>17</v>
      </c>
      <c r="I158">
        <v>44</v>
      </c>
      <c r="J158">
        <v>36</v>
      </c>
      <c r="K158">
        <v>20</v>
      </c>
      <c r="L158" t="s">
        <v>57</v>
      </c>
      <c r="M158" t="s">
        <v>58</v>
      </c>
      <c r="N158" t="s">
        <v>85</v>
      </c>
      <c r="O158">
        <v>0.98836356944</v>
      </c>
      <c r="P158">
        <f t="shared" si="5"/>
        <v>42.1656812901022</v>
      </c>
      <c r="Q158">
        <f t="shared" si="6"/>
        <v>3.74160665061224</v>
      </c>
      <c r="R158">
        <v>150</v>
      </c>
      <c r="S158" t="s">
        <v>60</v>
      </c>
      <c r="T158" t="s">
        <v>61</v>
      </c>
      <c r="U158" t="s">
        <v>62</v>
      </c>
      <c r="V158">
        <v>1</v>
      </c>
      <c r="W158">
        <v>0</v>
      </c>
      <c r="X158">
        <v>1</v>
      </c>
      <c r="Y158">
        <v>1</v>
      </c>
      <c r="Z158">
        <v>0</v>
      </c>
      <c r="AA158">
        <v>0</v>
      </c>
      <c r="AB158">
        <v>1</v>
      </c>
      <c r="AC158">
        <v>0</v>
      </c>
      <c r="AD158">
        <v>1</v>
      </c>
      <c r="AE158" s="5">
        <v>13.0371419123205</v>
      </c>
      <c r="AF158" s="5">
        <v>7.66829457707096</v>
      </c>
      <c r="AG158" s="5">
        <v>0.402493807679921</v>
      </c>
      <c r="AH158" s="5">
        <v>16.8965517241379</v>
      </c>
      <c r="AI158" s="5">
        <v>0.459647294440031</v>
      </c>
      <c r="AJ158" s="5">
        <v>-0.280752999575314</v>
      </c>
      <c r="AK158" s="5">
        <v>0.459647294440031</v>
      </c>
      <c r="AL158" s="5">
        <v>0.280752999575314</v>
      </c>
      <c r="AM158" s="5">
        <v>9.90856544965598</v>
      </c>
      <c r="AN158" s="5">
        <v>-0.457885273814649</v>
      </c>
      <c r="AO158" s="5">
        <v>-1.28</v>
      </c>
      <c r="AP158" s="5">
        <v>176558.643253875</v>
      </c>
      <c r="AQ158" s="5">
        <v>3.26474212239717</v>
      </c>
      <c r="AR158" s="5">
        <v>0</v>
      </c>
      <c r="AS158" s="5">
        <v>0</v>
      </c>
      <c r="AT158" s="5">
        <v>0</v>
      </c>
      <c r="AU158" s="5">
        <v>0</v>
      </c>
      <c r="AV158" s="5">
        <v>0</v>
      </c>
      <c r="AW158" s="5">
        <v>0</v>
      </c>
      <c r="AX158" s="5">
        <v>4.55274987369036</v>
      </c>
      <c r="AY158" s="5">
        <v>-7.88274914441085</v>
      </c>
      <c r="AZ158" s="5">
        <v>1</v>
      </c>
      <c r="BA158" s="5">
        <v>1</v>
      </c>
    </row>
    <row r="159" spans="1:53">
      <c r="A159" t="s">
        <v>53</v>
      </c>
      <c r="B159" t="s">
        <v>82</v>
      </c>
      <c r="C159" t="s">
        <v>55</v>
      </c>
      <c r="D159" s="4" t="s">
        <v>65</v>
      </c>
      <c r="E159">
        <v>0.035157</v>
      </c>
      <c r="F159">
        <v>6.7</v>
      </c>
      <c r="G159">
        <v>1</v>
      </c>
      <c r="H159">
        <v>17</v>
      </c>
      <c r="I159">
        <v>44</v>
      </c>
      <c r="J159">
        <v>36</v>
      </c>
      <c r="K159">
        <v>20</v>
      </c>
      <c r="L159" t="s">
        <v>57</v>
      </c>
      <c r="M159" t="s">
        <v>58</v>
      </c>
      <c r="N159" t="s">
        <v>85</v>
      </c>
      <c r="O159">
        <v>0.181022345273</v>
      </c>
      <c r="P159">
        <f t="shared" si="5"/>
        <v>5.14897019862332</v>
      </c>
      <c r="Q159">
        <f t="shared" si="6"/>
        <v>1.63879673324833</v>
      </c>
      <c r="R159">
        <v>150</v>
      </c>
      <c r="S159" t="s">
        <v>60</v>
      </c>
      <c r="T159" t="s">
        <v>61</v>
      </c>
      <c r="U159" t="s">
        <v>62</v>
      </c>
      <c r="V159">
        <v>1</v>
      </c>
      <c r="W159">
        <v>0</v>
      </c>
      <c r="X159">
        <v>1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1</v>
      </c>
      <c r="AE159" s="5">
        <v>12.6956944444444</v>
      </c>
      <c r="AF159" s="5">
        <v>7.51923752834467</v>
      </c>
      <c r="AG159" s="5">
        <v>0.567423483996869</v>
      </c>
      <c r="AH159" s="5">
        <v>16.6086956521739</v>
      </c>
      <c r="AI159" s="5">
        <v>0.459647303367286</v>
      </c>
      <c r="AJ159" s="5">
        <v>-0.280752999575136</v>
      </c>
      <c r="AK159" s="5">
        <v>0.459647303367286</v>
      </c>
      <c r="AL159" s="5">
        <v>0.280752999575136</v>
      </c>
      <c r="AM159" s="5">
        <v>9.97962409166519</v>
      </c>
      <c r="AN159" s="5">
        <v>-0.433260944725331</v>
      </c>
      <c r="AO159" s="5">
        <v>-1</v>
      </c>
      <c r="AP159" s="5">
        <v>14934.5346948423</v>
      </c>
      <c r="AQ159" s="5">
        <v>2.69882520469918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4.55274987369036</v>
      </c>
      <c r="AY159" s="5">
        <v>-7.5938637329932</v>
      </c>
      <c r="AZ159" s="5">
        <v>1</v>
      </c>
      <c r="BA159" s="5">
        <v>1</v>
      </c>
    </row>
    <row r="160" spans="1:53">
      <c r="A160" t="s">
        <v>53</v>
      </c>
      <c r="B160" t="s">
        <v>82</v>
      </c>
      <c r="C160" t="s">
        <v>55</v>
      </c>
      <c r="D160" s="4" t="s">
        <v>66</v>
      </c>
      <c r="E160">
        <v>0.316406</v>
      </c>
      <c r="F160">
        <v>6.7</v>
      </c>
      <c r="G160">
        <v>1</v>
      </c>
      <c r="H160">
        <v>17</v>
      </c>
      <c r="I160">
        <v>44</v>
      </c>
      <c r="J160">
        <v>36</v>
      </c>
      <c r="K160">
        <v>20</v>
      </c>
      <c r="L160" t="s">
        <v>57</v>
      </c>
      <c r="M160" t="s">
        <v>58</v>
      </c>
      <c r="N160" t="s">
        <v>85</v>
      </c>
      <c r="O160">
        <v>0.62162197336</v>
      </c>
      <c r="P160">
        <f t="shared" si="5"/>
        <v>1.96463396193498</v>
      </c>
      <c r="Q160">
        <f t="shared" si="6"/>
        <v>0.675305949055658</v>
      </c>
      <c r="R160">
        <v>150</v>
      </c>
      <c r="S160" t="s">
        <v>60</v>
      </c>
      <c r="T160" t="s">
        <v>61</v>
      </c>
      <c r="U160" t="s">
        <v>62</v>
      </c>
      <c r="V160">
        <v>1</v>
      </c>
      <c r="W160">
        <v>0</v>
      </c>
      <c r="X160">
        <v>1</v>
      </c>
      <c r="Y160">
        <v>1</v>
      </c>
      <c r="Z160">
        <v>0</v>
      </c>
      <c r="AA160">
        <v>0</v>
      </c>
      <c r="AB160">
        <v>1</v>
      </c>
      <c r="AC160">
        <v>0</v>
      </c>
      <c r="AD160">
        <v>1</v>
      </c>
      <c r="AE160" s="5">
        <v>12.8254166666667</v>
      </c>
      <c r="AF160" s="5">
        <v>4.27882137345679</v>
      </c>
      <c r="AG160" s="5">
        <v>0.653062667189842</v>
      </c>
      <c r="AH160" s="5">
        <v>16.12</v>
      </c>
      <c r="AI160" s="5">
        <v>0.459647294455008</v>
      </c>
      <c r="AJ160" s="5">
        <v>-0.47662745733429</v>
      </c>
      <c r="AK160" s="5">
        <v>0.47662745733429</v>
      </c>
      <c r="AL160" s="5">
        <v>0.459647294455008</v>
      </c>
      <c r="AM160" s="5">
        <v>9.90907137329749</v>
      </c>
      <c r="AN160" s="5">
        <v>-0.449718247791216</v>
      </c>
      <c r="AO160" s="5">
        <v>-1.58</v>
      </c>
      <c r="AP160" s="5">
        <v>39741.8973369129</v>
      </c>
      <c r="AQ160" s="5">
        <v>2.73920148528388</v>
      </c>
      <c r="AR160" s="5">
        <v>0</v>
      </c>
      <c r="AS160" s="5">
        <v>4.79453718407182</v>
      </c>
      <c r="AT160" s="5">
        <v>0</v>
      </c>
      <c r="AU160" s="5">
        <v>0</v>
      </c>
      <c r="AV160" s="5">
        <v>0</v>
      </c>
      <c r="AW160" s="5">
        <v>0</v>
      </c>
      <c r="AX160" s="5">
        <v>5.10652739484071</v>
      </c>
      <c r="AY160" s="5">
        <v>-7.69383775037793</v>
      </c>
      <c r="AZ160" s="5">
        <v>0.875</v>
      </c>
      <c r="BA160" s="5">
        <v>1</v>
      </c>
    </row>
    <row r="161" spans="1:53">
      <c r="A161" t="s">
        <v>53</v>
      </c>
      <c r="B161" t="s">
        <v>82</v>
      </c>
      <c r="C161" t="s">
        <v>55</v>
      </c>
      <c r="D161" s="4" t="s">
        <v>67</v>
      </c>
      <c r="E161">
        <v>0.035156</v>
      </c>
      <c r="F161">
        <v>6.7</v>
      </c>
      <c r="G161">
        <v>1</v>
      </c>
      <c r="H161">
        <v>17</v>
      </c>
      <c r="I161">
        <v>44</v>
      </c>
      <c r="J161">
        <v>36</v>
      </c>
      <c r="K161">
        <v>20</v>
      </c>
      <c r="L161" t="s">
        <v>57</v>
      </c>
      <c r="M161" t="s">
        <v>58</v>
      </c>
      <c r="N161" t="s">
        <v>85</v>
      </c>
      <c r="O161">
        <v>1.10321291447</v>
      </c>
      <c r="P161">
        <f t="shared" si="5"/>
        <v>31.3805016062692</v>
      </c>
      <c r="Q161">
        <f t="shared" si="6"/>
        <v>3.44618673208055</v>
      </c>
      <c r="R161">
        <v>150</v>
      </c>
      <c r="S161" t="s">
        <v>60</v>
      </c>
      <c r="T161" t="s">
        <v>61</v>
      </c>
      <c r="U161" t="s">
        <v>62</v>
      </c>
      <c r="V161">
        <v>1</v>
      </c>
      <c r="W161">
        <v>0</v>
      </c>
      <c r="X161">
        <v>1</v>
      </c>
      <c r="Y161">
        <v>1</v>
      </c>
      <c r="Z161">
        <v>0</v>
      </c>
      <c r="AA161">
        <v>0</v>
      </c>
      <c r="AB161">
        <v>1</v>
      </c>
      <c r="AC161">
        <v>0</v>
      </c>
      <c r="AD161">
        <v>1</v>
      </c>
      <c r="AE161" s="5">
        <v>13.0371419123205</v>
      </c>
      <c r="AF161" s="5">
        <v>7.66829457707096</v>
      </c>
      <c r="AG161" s="5">
        <v>0.402493807679921</v>
      </c>
      <c r="AH161" s="5">
        <v>16.8965517241379</v>
      </c>
      <c r="AI161" s="5">
        <v>0.459647294440031</v>
      </c>
      <c r="AJ161" s="5">
        <v>-0.280752999575314</v>
      </c>
      <c r="AK161" s="5">
        <v>0.459647294440031</v>
      </c>
      <c r="AL161" s="5">
        <v>0.280752999575314</v>
      </c>
      <c r="AM161" s="5">
        <v>9.90856544965598</v>
      </c>
      <c r="AN161" s="5">
        <v>-0.457885273814649</v>
      </c>
      <c r="AO161" s="5">
        <v>-1.28</v>
      </c>
      <c r="AP161" s="5">
        <v>176558.643253875</v>
      </c>
      <c r="AQ161" s="5">
        <v>3.26474212239717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4.55274987369036</v>
      </c>
      <c r="AY161" s="5">
        <v>-7.88274914441085</v>
      </c>
      <c r="AZ161" s="5">
        <v>1</v>
      </c>
      <c r="BA161" s="5">
        <v>1</v>
      </c>
    </row>
    <row r="162" spans="1:53">
      <c r="A162" t="s">
        <v>53</v>
      </c>
      <c r="B162" t="s">
        <v>83</v>
      </c>
      <c r="C162" t="s">
        <v>55</v>
      </c>
      <c r="D162" s="4" t="s">
        <v>65</v>
      </c>
      <c r="E162">
        <v>0.058594</v>
      </c>
      <c r="F162">
        <v>6.7</v>
      </c>
      <c r="G162">
        <v>1</v>
      </c>
      <c r="H162">
        <v>17</v>
      </c>
      <c r="I162">
        <v>44</v>
      </c>
      <c r="J162">
        <v>36</v>
      </c>
      <c r="K162">
        <v>20</v>
      </c>
      <c r="L162" t="s">
        <v>57</v>
      </c>
      <c r="M162" t="s">
        <v>58</v>
      </c>
      <c r="N162" t="s">
        <v>85</v>
      </c>
      <c r="O162">
        <v>0.14990893408</v>
      </c>
      <c r="P162">
        <f t="shared" si="5"/>
        <v>2.55843489230979</v>
      </c>
      <c r="Q162">
        <f t="shared" si="6"/>
        <v>0.939395701337022</v>
      </c>
      <c r="R162">
        <v>150</v>
      </c>
      <c r="S162" t="s">
        <v>60</v>
      </c>
      <c r="T162" t="s">
        <v>61</v>
      </c>
      <c r="U162" t="s">
        <v>62</v>
      </c>
      <c r="V162">
        <v>1</v>
      </c>
      <c r="W162">
        <v>0</v>
      </c>
      <c r="X162">
        <v>1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1</v>
      </c>
      <c r="AE162" s="5">
        <v>12.6956944444444</v>
      </c>
      <c r="AF162" s="5">
        <v>7.51923752834467</v>
      </c>
      <c r="AG162" s="5">
        <v>0.567423483996869</v>
      </c>
      <c r="AH162" s="5">
        <v>16.6086956521739</v>
      </c>
      <c r="AI162" s="5">
        <v>0.459647303367286</v>
      </c>
      <c r="AJ162" s="5">
        <v>-0.280752999575136</v>
      </c>
      <c r="AK162" s="5">
        <v>0.459647303367286</v>
      </c>
      <c r="AL162" s="5">
        <v>0.280752999575136</v>
      </c>
      <c r="AM162" s="5">
        <v>9.97962409166519</v>
      </c>
      <c r="AN162" s="5">
        <v>-0.433260944725331</v>
      </c>
      <c r="AO162" s="5">
        <v>-1</v>
      </c>
      <c r="AP162" s="5">
        <v>14934.5346948423</v>
      </c>
      <c r="AQ162" s="5">
        <v>2.69882520469918</v>
      </c>
      <c r="AR162" s="5">
        <v>0</v>
      </c>
      <c r="AS162" s="5">
        <v>0</v>
      </c>
      <c r="AT162" s="5">
        <v>0</v>
      </c>
      <c r="AU162" s="5">
        <v>0</v>
      </c>
      <c r="AV162" s="5">
        <v>0</v>
      </c>
      <c r="AW162" s="5">
        <v>0</v>
      </c>
      <c r="AX162" s="5">
        <v>4.55274987369036</v>
      </c>
      <c r="AY162" s="5">
        <v>-7.5938637329932</v>
      </c>
      <c r="AZ162" s="5">
        <v>1</v>
      </c>
      <c r="BA162" s="5">
        <v>1</v>
      </c>
    </row>
    <row r="163" spans="1:53">
      <c r="A163" t="s">
        <v>53</v>
      </c>
      <c r="B163" t="s">
        <v>83</v>
      </c>
      <c r="C163" t="s">
        <v>55</v>
      </c>
      <c r="D163" s="4" t="s">
        <v>66</v>
      </c>
      <c r="E163">
        <v>0.175781</v>
      </c>
      <c r="F163">
        <v>6.7</v>
      </c>
      <c r="G163">
        <v>1</v>
      </c>
      <c r="H163">
        <v>17</v>
      </c>
      <c r="I163">
        <v>44</v>
      </c>
      <c r="J163">
        <v>36</v>
      </c>
      <c r="K163">
        <v>20</v>
      </c>
      <c r="L163" t="s">
        <v>57</v>
      </c>
      <c r="M163" t="s">
        <v>58</v>
      </c>
      <c r="N163" t="s">
        <v>85</v>
      </c>
      <c r="O163">
        <v>0.6960108256</v>
      </c>
      <c r="P163">
        <f t="shared" si="5"/>
        <v>3.9595338836393</v>
      </c>
      <c r="Q163">
        <f t="shared" si="6"/>
        <v>1.37612631218679</v>
      </c>
      <c r="R163">
        <v>150</v>
      </c>
      <c r="S163" t="s">
        <v>60</v>
      </c>
      <c r="T163" t="s">
        <v>61</v>
      </c>
      <c r="U163" t="s">
        <v>62</v>
      </c>
      <c r="V163">
        <v>1</v>
      </c>
      <c r="W163">
        <v>0</v>
      </c>
      <c r="X163">
        <v>1</v>
      </c>
      <c r="Y163">
        <v>1</v>
      </c>
      <c r="Z163">
        <v>0</v>
      </c>
      <c r="AA163">
        <v>0</v>
      </c>
      <c r="AB163">
        <v>1</v>
      </c>
      <c r="AC163">
        <v>0</v>
      </c>
      <c r="AD163">
        <v>1</v>
      </c>
      <c r="AE163" s="5">
        <v>12.8254166666667</v>
      </c>
      <c r="AF163" s="5">
        <v>4.27882137345679</v>
      </c>
      <c r="AG163" s="5">
        <v>0.653062667189842</v>
      </c>
      <c r="AH163" s="5">
        <v>16.12</v>
      </c>
      <c r="AI163" s="5">
        <v>0.459647294455008</v>
      </c>
      <c r="AJ163" s="5">
        <v>-0.47662745733429</v>
      </c>
      <c r="AK163" s="5">
        <v>0.47662745733429</v>
      </c>
      <c r="AL163" s="5">
        <v>0.459647294455008</v>
      </c>
      <c r="AM163" s="5">
        <v>9.90907137329749</v>
      </c>
      <c r="AN163" s="5">
        <v>-0.449718247791216</v>
      </c>
      <c r="AO163" s="5">
        <v>-1.58</v>
      </c>
      <c r="AP163" s="5">
        <v>39741.8973369129</v>
      </c>
      <c r="AQ163" s="5">
        <v>2.73920148528388</v>
      </c>
      <c r="AR163" s="5">
        <v>0</v>
      </c>
      <c r="AS163" s="5">
        <v>4.79453718407182</v>
      </c>
      <c r="AT163" s="5">
        <v>0</v>
      </c>
      <c r="AU163" s="5">
        <v>0</v>
      </c>
      <c r="AV163" s="5">
        <v>0</v>
      </c>
      <c r="AW163" s="5">
        <v>0</v>
      </c>
      <c r="AX163" s="5">
        <v>5.10652739484071</v>
      </c>
      <c r="AY163" s="5">
        <v>-7.69383775037793</v>
      </c>
      <c r="AZ163" s="5">
        <v>0.875</v>
      </c>
      <c r="BA163" s="5">
        <v>1</v>
      </c>
    </row>
    <row r="164" spans="1:53">
      <c r="A164" t="s">
        <v>53</v>
      </c>
      <c r="B164" t="s">
        <v>83</v>
      </c>
      <c r="C164" t="s">
        <v>55</v>
      </c>
      <c r="D164" s="4" t="s">
        <v>67</v>
      </c>
      <c r="E164">
        <v>0.0234369999999999</v>
      </c>
      <c r="F164">
        <v>6.7</v>
      </c>
      <c r="G164">
        <v>1</v>
      </c>
      <c r="H164">
        <v>17</v>
      </c>
      <c r="I164">
        <v>44</v>
      </c>
      <c r="J164">
        <v>36</v>
      </c>
      <c r="K164">
        <v>20</v>
      </c>
      <c r="L164" t="s">
        <v>57</v>
      </c>
      <c r="M164" t="s">
        <v>58</v>
      </c>
      <c r="N164" t="s">
        <v>85</v>
      </c>
      <c r="O164">
        <v>1.170728157</v>
      </c>
      <c r="P164">
        <f t="shared" si="5"/>
        <v>49.9521336775187</v>
      </c>
      <c r="Q164">
        <f t="shared" si="6"/>
        <v>3.91106522044889</v>
      </c>
      <c r="R164">
        <v>150</v>
      </c>
      <c r="S164" t="s">
        <v>60</v>
      </c>
      <c r="T164" t="s">
        <v>61</v>
      </c>
      <c r="U164" t="s">
        <v>62</v>
      </c>
      <c r="V164">
        <v>1</v>
      </c>
      <c r="W164">
        <v>0</v>
      </c>
      <c r="X164">
        <v>1</v>
      </c>
      <c r="Y164">
        <v>1</v>
      </c>
      <c r="Z164">
        <v>0</v>
      </c>
      <c r="AA164">
        <v>0</v>
      </c>
      <c r="AB164">
        <v>1</v>
      </c>
      <c r="AC164">
        <v>0</v>
      </c>
      <c r="AD164">
        <v>1</v>
      </c>
      <c r="AE164" s="5">
        <v>13.0371419123205</v>
      </c>
      <c r="AF164" s="5">
        <v>7.66829457707096</v>
      </c>
      <c r="AG164" s="5">
        <v>0.402493807679921</v>
      </c>
      <c r="AH164" s="5">
        <v>16.8965517241379</v>
      </c>
      <c r="AI164" s="5">
        <v>0.459647294440031</v>
      </c>
      <c r="AJ164" s="5">
        <v>-0.280752999575314</v>
      </c>
      <c r="AK164" s="5">
        <v>0.459647294440031</v>
      </c>
      <c r="AL164" s="5">
        <v>0.280752999575314</v>
      </c>
      <c r="AM164" s="5">
        <v>9.90856544965598</v>
      </c>
      <c r="AN164" s="5">
        <v>-0.457885273814649</v>
      </c>
      <c r="AO164" s="5">
        <v>-1.28</v>
      </c>
      <c r="AP164" s="5">
        <v>176558.643253875</v>
      </c>
      <c r="AQ164" s="5">
        <v>3.26474212239717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4.55274987369036</v>
      </c>
      <c r="AY164" s="5">
        <v>-7.88274914441085</v>
      </c>
      <c r="AZ164" s="5">
        <v>1</v>
      </c>
      <c r="BA164" s="5">
        <v>1</v>
      </c>
    </row>
    <row r="165" spans="1:53">
      <c r="A165" t="s">
        <v>53</v>
      </c>
      <c r="B165" t="s">
        <v>84</v>
      </c>
      <c r="C165" t="s">
        <v>55</v>
      </c>
      <c r="D165" s="4" t="s">
        <v>63</v>
      </c>
      <c r="E165">
        <v>0.269532</v>
      </c>
      <c r="F165">
        <v>6.7</v>
      </c>
      <c r="G165">
        <v>1</v>
      </c>
      <c r="H165">
        <v>17</v>
      </c>
      <c r="I165">
        <v>44</v>
      </c>
      <c r="J165">
        <v>36</v>
      </c>
      <c r="K165">
        <v>20</v>
      </c>
      <c r="L165" t="s">
        <v>57</v>
      </c>
      <c r="M165" t="s">
        <v>58</v>
      </c>
      <c r="N165" t="s">
        <v>85</v>
      </c>
      <c r="O165">
        <v>0.232324672105</v>
      </c>
      <c r="P165">
        <f t="shared" ref="P165:P228" si="7">O165/E165</f>
        <v>0.861955805266165</v>
      </c>
      <c r="Q165">
        <f t="shared" si="6"/>
        <v>-0.148551279625643</v>
      </c>
      <c r="R165">
        <v>150</v>
      </c>
      <c r="S165" t="s">
        <v>60</v>
      </c>
      <c r="T165" t="s">
        <v>61</v>
      </c>
      <c r="U165" t="s">
        <v>62</v>
      </c>
      <c r="V165">
        <v>1</v>
      </c>
      <c r="W165">
        <v>0</v>
      </c>
      <c r="X165">
        <v>1</v>
      </c>
      <c r="Y165">
        <v>1</v>
      </c>
      <c r="Z165">
        <v>0</v>
      </c>
      <c r="AA165">
        <v>0</v>
      </c>
      <c r="AB165">
        <v>1</v>
      </c>
      <c r="AC165">
        <v>0</v>
      </c>
      <c r="AD165">
        <v>1</v>
      </c>
      <c r="AE165" s="5">
        <v>12.2120833333333</v>
      </c>
      <c r="AF165" s="5">
        <v>7.00097222222222</v>
      </c>
      <c r="AG165" s="5">
        <v>0.642528075697275</v>
      </c>
      <c r="AH165" s="5">
        <v>16.1176470588235</v>
      </c>
      <c r="AI165" s="5">
        <v>0.459694901747447</v>
      </c>
      <c r="AJ165" s="5">
        <v>-0.280752981483328</v>
      </c>
      <c r="AK165" s="5">
        <v>0.459694901747447</v>
      </c>
      <c r="AL165" s="5">
        <v>0.280752981483328</v>
      </c>
      <c r="AM165" s="5">
        <v>10.1452721658031</v>
      </c>
      <c r="AN165" s="5">
        <v>-0.382289160206052</v>
      </c>
      <c r="AO165" s="5">
        <v>-0.72</v>
      </c>
      <c r="AP165" s="5">
        <v>1212.20967645111</v>
      </c>
      <c r="AQ165" s="5">
        <v>2.16502218725737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4.55274987369036</v>
      </c>
      <c r="AY165" s="5">
        <v>-7.13430555555556</v>
      </c>
      <c r="AZ165" s="5">
        <v>1</v>
      </c>
      <c r="BA165" s="5">
        <v>1</v>
      </c>
    </row>
    <row r="166" spans="1:53">
      <c r="A166" t="s">
        <v>53</v>
      </c>
      <c r="B166" t="s">
        <v>84</v>
      </c>
      <c r="C166" t="s">
        <v>55</v>
      </c>
      <c r="D166" s="4" t="s">
        <v>65</v>
      </c>
      <c r="E166">
        <v>0.082031</v>
      </c>
      <c r="F166">
        <v>6.7</v>
      </c>
      <c r="G166">
        <v>1</v>
      </c>
      <c r="H166">
        <v>17</v>
      </c>
      <c r="I166">
        <v>44</v>
      </c>
      <c r="J166">
        <v>36</v>
      </c>
      <c r="K166">
        <v>20</v>
      </c>
      <c r="L166" t="s">
        <v>57</v>
      </c>
      <c r="M166" t="s">
        <v>58</v>
      </c>
      <c r="N166" t="s">
        <v>85</v>
      </c>
      <c r="O166">
        <v>0.173378119</v>
      </c>
      <c r="P166">
        <f t="shared" si="7"/>
        <v>2.11356827296997</v>
      </c>
      <c r="Q166">
        <f t="shared" si="6"/>
        <v>0.748377643777146</v>
      </c>
      <c r="R166">
        <v>150</v>
      </c>
      <c r="S166" t="s">
        <v>60</v>
      </c>
      <c r="T166" t="s">
        <v>61</v>
      </c>
      <c r="U166" t="s">
        <v>62</v>
      </c>
      <c r="V166">
        <v>1</v>
      </c>
      <c r="W166">
        <v>0</v>
      </c>
      <c r="X166">
        <v>1</v>
      </c>
      <c r="Y166">
        <v>1</v>
      </c>
      <c r="Z166">
        <v>0</v>
      </c>
      <c r="AA166">
        <v>0</v>
      </c>
      <c r="AB166">
        <v>1</v>
      </c>
      <c r="AC166">
        <v>0</v>
      </c>
      <c r="AD166">
        <v>1</v>
      </c>
      <c r="AE166" s="5">
        <v>12.6956944444444</v>
      </c>
      <c r="AF166" s="5">
        <v>7.51923752834467</v>
      </c>
      <c r="AG166" s="5">
        <v>0.567423483996869</v>
      </c>
      <c r="AH166" s="5">
        <v>16.6086956521739</v>
      </c>
      <c r="AI166" s="5">
        <v>0.459647303367286</v>
      </c>
      <c r="AJ166" s="5">
        <v>-0.280752999575136</v>
      </c>
      <c r="AK166" s="5">
        <v>0.459647303367286</v>
      </c>
      <c r="AL166" s="5">
        <v>0.280752999575136</v>
      </c>
      <c r="AM166" s="5">
        <v>9.97962409166519</v>
      </c>
      <c r="AN166" s="5">
        <v>-0.433260944725331</v>
      </c>
      <c r="AO166" s="5">
        <v>-1</v>
      </c>
      <c r="AP166" s="5">
        <v>14934.5346948423</v>
      </c>
      <c r="AQ166" s="5">
        <v>2.69882520469918</v>
      </c>
      <c r="AR166" s="5">
        <v>0</v>
      </c>
      <c r="AS166" s="5">
        <v>0</v>
      </c>
      <c r="AT166" s="5">
        <v>0</v>
      </c>
      <c r="AU166" s="5">
        <v>0</v>
      </c>
      <c r="AV166" s="5">
        <v>0</v>
      </c>
      <c r="AW166" s="5">
        <v>0</v>
      </c>
      <c r="AX166" s="5">
        <v>4.55274987369036</v>
      </c>
      <c r="AY166" s="5">
        <v>-7.5938637329932</v>
      </c>
      <c r="AZ166" s="5">
        <v>1</v>
      </c>
      <c r="BA166" s="5">
        <v>1</v>
      </c>
    </row>
    <row r="167" spans="1:53">
      <c r="A167" t="s">
        <v>53</v>
      </c>
      <c r="B167" t="s">
        <v>84</v>
      </c>
      <c r="C167" t="s">
        <v>55</v>
      </c>
      <c r="D167" s="4" t="s">
        <v>66</v>
      </c>
      <c r="E167">
        <v>0.386719</v>
      </c>
      <c r="F167">
        <v>6.7</v>
      </c>
      <c r="G167">
        <v>1</v>
      </c>
      <c r="H167">
        <v>17</v>
      </c>
      <c r="I167">
        <v>44</v>
      </c>
      <c r="J167">
        <v>36</v>
      </c>
      <c r="K167">
        <v>20</v>
      </c>
      <c r="L167" t="s">
        <v>57</v>
      </c>
      <c r="M167" t="s">
        <v>58</v>
      </c>
      <c r="N167" t="s">
        <v>85</v>
      </c>
      <c r="O167">
        <v>0.468115186</v>
      </c>
      <c r="P167">
        <f t="shared" si="7"/>
        <v>1.21047889035708</v>
      </c>
      <c r="Q167">
        <f t="shared" si="6"/>
        <v>0.191016058464143</v>
      </c>
      <c r="R167">
        <v>150</v>
      </c>
      <c r="S167" t="s">
        <v>60</v>
      </c>
      <c r="T167" t="s">
        <v>61</v>
      </c>
      <c r="U167" t="s">
        <v>62</v>
      </c>
      <c r="V167">
        <v>1</v>
      </c>
      <c r="W167">
        <v>0</v>
      </c>
      <c r="X167">
        <v>1</v>
      </c>
      <c r="Y167">
        <v>1</v>
      </c>
      <c r="Z167">
        <v>0</v>
      </c>
      <c r="AA167">
        <v>0</v>
      </c>
      <c r="AB167">
        <v>1</v>
      </c>
      <c r="AC167">
        <v>0</v>
      </c>
      <c r="AD167">
        <v>1</v>
      </c>
      <c r="AE167" s="5">
        <v>12.8254166666667</v>
      </c>
      <c r="AF167" s="5">
        <v>4.27882137345679</v>
      </c>
      <c r="AG167" s="5">
        <v>0.653062667189842</v>
      </c>
      <c r="AH167" s="5">
        <v>16.12</v>
      </c>
      <c r="AI167" s="5">
        <v>0.459647294455008</v>
      </c>
      <c r="AJ167" s="5">
        <v>-0.47662745733429</v>
      </c>
      <c r="AK167" s="5">
        <v>0.47662745733429</v>
      </c>
      <c r="AL167" s="5">
        <v>0.459647294455008</v>
      </c>
      <c r="AM167" s="5">
        <v>9.90907137329749</v>
      </c>
      <c r="AN167" s="5">
        <v>-0.449718247791216</v>
      </c>
      <c r="AO167" s="5">
        <v>-1.58</v>
      </c>
      <c r="AP167" s="5">
        <v>39741.8973369129</v>
      </c>
      <c r="AQ167" s="5">
        <v>2.73920148528388</v>
      </c>
      <c r="AR167" s="5">
        <v>0</v>
      </c>
      <c r="AS167" s="5">
        <v>4.79453718407182</v>
      </c>
      <c r="AT167" s="5">
        <v>0</v>
      </c>
      <c r="AU167" s="5">
        <v>0</v>
      </c>
      <c r="AV167" s="5">
        <v>0</v>
      </c>
      <c r="AW167" s="5">
        <v>0</v>
      </c>
      <c r="AX167" s="5">
        <v>5.10652739484071</v>
      </c>
      <c r="AY167" s="5">
        <v>-7.69383775037793</v>
      </c>
      <c r="AZ167" s="5">
        <v>0.875</v>
      </c>
      <c r="BA167" s="5">
        <v>1</v>
      </c>
    </row>
    <row r="168" spans="1:53">
      <c r="A168" t="s">
        <v>53</v>
      </c>
      <c r="B168" t="s">
        <v>84</v>
      </c>
      <c r="C168" t="s">
        <v>55</v>
      </c>
      <c r="D168" s="4" t="s">
        <v>67</v>
      </c>
      <c r="E168">
        <v>0.0234399999999999</v>
      </c>
      <c r="F168">
        <v>6.7</v>
      </c>
      <c r="G168">
        <v>1</v>
      </c>
      <c r="H168">
        <v>17</v>
      </c>
      <c r="I168">
        <v>44</v>
      </c>
      <c r="J168">
        <v>36</v>
      </c>
      <c r="K168">
        <v>20</v>
      </c>
      <c r="L168" t="s">
        <v>57</v>
      </c>
      <c r="M168" t="s">
        <v>58</v>
      </c>
      <c r="N168" t="s">
        <v>85</v>
      </c>
      <c r="O168">
        <v>1.05759792295</v>
      </c>
      <c r="P168">
        <f t="shared" si="7"/>
        <v>45.1193653135668</v>
      </c>
      <c r="Q168">
        <f t="shared" si="6"/>
        <v>3.80931154045893</v>
      </c>
      <c r="R168">
        <v>150</v>
      </c>
      <c r="S168" t="s">
        <v>60</v>
      </c>
      <c r="T168" t="s">
        <v>61</v>
      </c>
      <c r="U168" t="s">
        <v>62</v>
      </c>
      <c r="V168">
        <v>1</v>
      </c>
      <c r="W168">
        <v>0</v>
      </c>
      <c r="X168">
        <v>1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1</v>
      </c>
      <c r="AE168" s="5">
        <v>13.0371419123205</v>
      </c>
      <c r="AF168" s="5">
        <v>7.66829457707096</v>
      </c>
      <c r="AG168" s="5">
        <v>0.402493807679921</v>
      </c>
      <c r="AH168" s="5">
        <v>16.8965517241379</v>
      </c>
      <c r="AI168" s="5">
        <v>0.459647294440031</v>
      </c>
      <c r="AJ168" s="5">
        <v>-0.280752999575314</v>
      </c>
      <c r="AK168" s="5">
        <v>0.459647294440031</v>
      </c>
      <c r="AL168" s="5">
        <v>0.280752999575314</v>
      </c>
      <c r="AM168" s="5">
        <v>9.90856544965598</v>
      </c>
      <c r="AN168" s="5">
        <v>-0.457885273814649</v>
      </c>
      <c r="AO168" s="5">
        <v>-1.28</v>
      </c>
      <c r="AP168" s="5">
        <v>176558.643253875</v>
      </c>
      <c r="AQ168" s="5">
        <v>3.26474212239717</v>
      </c>
      <c r="AR168" s="5">
        <v>0</v>
      </c>
      <c r="AS168" s="5">
        <v>0</v>
      </c>
      <c r="AT168" s="5">
        <v>0</v>
      </c>
      <c r="AU168" s="5">
        <v>0</v>
      </c>
      <c r="AV168" s="5">
        <v>0</v>
      </c>
      <c r="AW168" s="5">
        <v>0</v>
      </c>
      <c r="AX168" s="5">
        <v>4.55274987369036</v>
      </c>
      <c r="AY168" s="5">
        <v>-7.88274914441085</v>
      </c>
      <c r="AZ168" s="5">
        <v>1</v>
      </c>
      <c r="BA168" s="5">
        <v>1</v>
      </c>
    </row>
    <row r="169" spans="1:53">
      <c r="A169" t="s">
        <v>53</v>
      </c>
      <c r="B169" t="s">
        <v>84</v>
      </c>
      <c r="C169" t="s">
        <v>55</v>
      </c>
      <c r="D169" s="4" t="s">
        <v>68</v>
      </c>
      <c r="E169">
        <v>0.03515</v>
      </c>
      <c r="F169">
        <v>6.7</v>
      </c>
      <c r="G169">
        <v>1</v>
      </c>
      <c r="H169">
        <v>17</v>
      </c>
      <c r="I169">
        <v>44</v>
      </c>
      <c r="J169">
        <v>36</v>
      </c>
      <c r="K169">
        <v>20</v>
      </c>
      <c r="L169" t="s">
        <v>57</v>
      </c>
      <c r="M169" t="s">
        <v>58</v>
      </c>
      <c r="N169" t="s">
        <v>85</v>
      </c>
      <c r="O169">
        <v>0.7455201764</v>
      </c>
      <c r="P169">
        <f t="shared" si="7"/>
        <v>21.2096778492176</v>
      </c>
      <c r="Q169">
        <f t="shared" si="6"/>
        <v>3.05445757983407</v>
      </c>
      <c r="R169">
        <v>150</v>
      </c>
      <c r="S169" t="s">
        <v>60</v>
      </c>
      <c r="T169" t="s">
        <v>61</v>
      </c>
      <c r="U169" t="s">
        <v>62</v>
      </c>
      <c r="V169">
        <v>1</v>
      </c>
      <c r="W169">
        <v>0</v>
      </c>
      <c r="X169">
        <v>1</v>
      </c>
      <c r="Y169">
        <v>1</v>
      </c>
      <c r="Z169">
        <v>0</v>
      </c>
      <c r="AA169">
        <v>0</v>
      </c>
      <c r="AB169">
        <v>1</v>
      </c>
      <c r="AC169">
        <v>0</v>
      </c>
      <c r="AD169">
        <v>1</v>
      </c>
      <c r="AE169" s="5">
        <v>12.1252083333333</v>
      </c>
      <c r="AF169" s="5">
        <v>3.79034722222222</v>
      </c>
      <c r="AG169" s="5">
        <v>0.795108310685598</v>
      </c>
      <c r="AH169" s="5">
        <v>15.0625</v>
      </c>
      <c r="AI169" s="5">
        <v>0.459665733935349</v>
      </c>
      <c r="AJ169" s="5">
        <v>-0.476627440416371</v>
      </c>
      <c r="AK169" s="5">
        <v>0.476627440416371</v>
      </c>
      <c r="AL169" s="5">
        <v>0.459665733935349</v>
      </c>
      <c r="AM169" s="5">
        <v>10.044436145131</v>
      </c>
      <c r="AN169" s="5">
        <v>-0.389909625311938</v>
      </c>
      <c r="AO169" s="5">
        <v>-1.16</v>
      </c>
      <c r="AP169" s="5">
        <v>939.726830541714</v>
      </c>
      <c r="AQ169" s="5">
        <v>1.77550667912426</v>
      </c>
      <c r="AR169" s="5">
        <v>0</v>
      </c>
      <c r="AS169" s="5">
        <v>4.79453718407182</v>
      </c>
      <c r="AT169" s="5">
        <v>0</v>
      </c>
      <c r="AU169" s="5">
        <v>0</v>
      </c>
      <c r="AV169" s="5">
        <v>0</v>
      </c>
      <c r="AW169" s="5">
        <v>0</v>
      </c>
      <c r="AX169" s="5">
        <v>5.10652739484071</v>
      </c>
      <c r="AY169" s="5">
        <v>-7.00458333333333</v>
      </c>
      <c r="AZ169" s="5">
        <v>0.8</v>
      </c>
      <c r="BA169" s="5">
        <v>1</v>
      </c>
    </row>
    <row r="170" hidden="1" spans="1:53">
      <c r="A170" t="s">
        <v>53</v>
      </c>
      <c r="B170" t="s">
        <v>54</v>
      </c>
      <c r="C170" t="s">
        <v>55</v>
      </c>
      <c r="D170" s="4" t="s">
        <v>56</v>
      </c>
      <c r="E170">
        <v>0.585938</v>
      </c>
      <c r="F170">
        <v>6.7</v>
      </c>
      <c r="G170">
        <v>1</v>
      </c>
      <c r="H170">
        <v>17</v>
      </c>
      <c r="I170">
        <v>44</v>
      </c>
      <c r="J170">
        <v>36</v>
      </c>
      <c r="K170">
        <v>20</v>
      </c>
      <c r="L170" t="s">
        <v>57</v>
      </c>
      <c r="M170" t="s">
        <v>58</v>
      </c>
      <c r="N170" t="s">
        <v>86</v>
      </c>
      <c r="O170">
        <v>19.7397185249</v>
      </c>
      <c r="P170">
        <f t="shared" si="7"/>
        <v>33.6890908678051</v>
      </c>
      <c r="Q170">
        <f t="shared" si="6"/>
        <v>3.5171740718304</v>
      </c>
      <c r="R170">
        <v>150</v>
      </c>
      <c r="S170" t="s">
        <v>60</v>
      </c>
      <c r="T170" t="s">
        <v>61</v>
      </c>
      <c r="U170" t="s">
        <v>62</v>
      </c>
      <c r="V170">
        <v>1</v>
      </c>
      <c r="W170">
        <v>0</v>
      </c>
      <c r="X170">
        <v>1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1</v>
      </c>
      <c r="AE170" s="5">
        <v>11.7505787037037</v>
      </c>
      <c r="AF170" s="5">
        <v>3.53256944444444</v>
      </c>
      <c r="AG170" s="5">
        <v>0.712441776552488</v>
      </c>
      <c r="AH170" s="5">
        <v>14.3846153846154</v>
      </c>
      <c r="AI170" s="5">
        <v>0.460094687009651</v>
      </c>
      <c r="AJ170" s="5">
        <v>-0.476625664235965</v>
      </c>
      <c r="AK170" s="5">
        <v>0.476625664235965</v>
      </c>
      <c r="AL170" s="5">
        <v>0.460094687009651</v>
      </c>
      <c r="AM170" s="5">
        <v>10.1473915373546</v>
      </c>
      <c r="AN170" s="5">
        <v>-0.347050241178715</v>
      </c>
      <c r="AO170" s="5">
        <v>-1.02</v>
      </c>
      <c r="AP170" s="5">
        <v>260.658615872357</v>
      </c>
      <c r="AQ170" s="5">
        <v>1.67669845728037</v>
      </c>
      <c r="AR170" s="5">
        <v>0</v>
      </c>
      <c r="AS170" s="5">
        <v>4.79453718407182</v>
      </c>
      <c r="AT170" s="5">
        <v>0</v>
      </c>
      <c r="AU170" s="5">
        <v>0</v>
      </c>
      <c r="AV170" s="5">
        <v>0</v>
      </c>
      <c r="AW170" s="5">
        <v>0</v>
      </c>
      <c r="AX170" s="5">
        <v>5.10652739484071</v>
      </c>
      <c r="AY170" s="5">
        <v>-6.60229166666667</v>
      </c>
      <c r="AZ170" s="5">
        <v>0.75</v>
      </c>
      <c r="BA170" s="5">
        <v>1</v>
      </c>
    </row>
    <row r="171" hidden="1" spans="1:53">
      <c r="A171" t="s">
        <v>53</v>
      </c>
      <c r="B171" t="s">
        <v>54</v>
      </c>
      <c r="C171" t="s">
        <v>55</v>
      </c>
      <c r="D171" s="4" t="s">
        <v>63</v>
      </c>
      <c r="E171">
        <v>0.29297</v>
      </c>
      <c r="F171">
        <v>6.7</v>
      </c>
      <c r="G171">
        <v>1</v>
      </c>
      <c r="H171">
        <v>17</v>
      </c>
      <c r="I171">
        <v>44</v>
      </c>
      <c r="J171">
        <v>36</v>
      </c>
      <c r="K171">
        <v>20</v>
      </c>
      <c r="L171" t="s">
        <v>57</v>
      </c>
      <c r="M171" t="s">
        <v>58</v>
      </c>
      <c r="N171" t="s">
        <v>86</v>
      </c>
      <c r="O171">
        <v>0.431208073999998</v>
      </c>
      <c r="P171">
        <f t="shared" si="7"/>
        <v>1.47185061269071</v>
      </c>
      <c r="Q171">
        <f t="shared" si="6"/>
        <v>0.386520529212828</v>
      </c>
      <c r="R171">
        <v>150</v>
      </c>
      <c r="S171" t="s">
        <v>60</v>
      </c>
      <c r="T171" t="s">
        <v>61</v>
      </c>
      <c r="U171" t="s">
        <v>62</v>
      </c>
      <c r="V171">
        <v>1</v>
      </c>
      <c r="W171">
        <v>0</v>
      </c>
      <c r="X171">
        <v>1</v>
      </c>
      <c r="Y171">
        <v>1</v>
      </c>
      <c r="Z171">
        <v>0</v>
      </c>
      <c r="AA171">
        <v>0</v>
      </c>
      <c r="AB171">
        <v>1</v>
      </c>
      <c r="AC171">
        <v>0</v>
      </c>
      <c r="AD171">
        <v>1</v>
      </c>
      <c r="AE171" s="5">
        <v>12.2120833333333</v>
      </c>
      <c r="AF171" s="5">
        <v>7.00097222222222</v>
      </c>
      <c r="AG171" s="5">
        <v>0.642528075697275</v>
      </c>
      <c r="AH171" s="5">
        <v>16.1176470588235</v>
      </c>
      <c r="AI171" s="5">
        <v>0.459694901747447</v>
      </c>
      <c r="AJ171" s="5">
        <v>-0.280752981483328</v>
      </c>
      <c r="AK171" s="5">
        <v>0.459694901747447</v>
      </c>
      <c r="AL171" s="5">
        <v>0.280752981483328</v>
      </c>
      <c r="AM171" s="5">
        <v>10.1452721658031</v>
      </c>
      <c r="AN171" s="5">
        <v>-0.382289160206052</v>
      </c>
      <c r="AO171" s="5">
        <v>-0.72</v>
      </c>
      <c r="AP171" s="5">
        <v>1212.20967645111</v>
      </c>
      <c r="AQ171" s="5">
        <v>2.16502218725737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4.55274987369036</v>
      </c>
      <c r="AY171" s="5">
        <v>-7.13430555555556</v>
      </c>
      <c r="AZ171" s="5">
        <v>1</v>
      </c>
      <c r="BA171" s="5">
        <v>1</v>
      </c>
    </row>
    <row r="172" hidden="1" spans="1:53">
      <c r="A172" t="s">
        <v>53</v>
      </c>
      <c r="B172" t="s">
        <v>54</v>
      </c>
      <c r="C172" t="s">
        <v>55</v>
      </c>
      <c r="D172" s="4" t="s">
        <v>64</v>
      </c>
      <c r="E172">
        <v>0.234380000000001</v>
      </c>
      <c r="F172">
        <v>6.7</v>
      </c>
      <c r="G172">
        <v>1</v>
      </c>
      <c r="H172">
        <v>17</v>
      </c>
      <c r="I172">
        <v>44</v>
      </c>
      <c r="J172">
        <v>36</v>
      </c>
      <c r="K172">
        <v>20</v>
      </c>
      <c r="L172" t="s">
        <v>57</v>
      </c>
      <c r="M172" t="s">
        <v>58</v>
      </c>
      <c r="N172" t="s">
        <v>86</v>
      </c>
      <c r="O172">
        <v>0.229560442899999</v>
      </c>
      <c r="P172">
        <f t="shared" si="7"/>
        <v>0.979436995050764</v>
      </c>
      <c r="Q172">
        <f t="shared" si="6"/>
        <v>-0.0207773672490732</v>
      </c>
      <c r="R172">
        <v>150</v>
      </c>
      <c r="S172" t="s">
        <v>60</v>
      </c>
      <c r="T172" t="s">
        <v>61</v>
      </c>
      <c r="U172" t="s">
        <v>62</v>
      </c>
      <c r="V172">
        <v>1</v>
      </c>
      <c r="W172">
        <v>0</v>
      </c>
      <c r="X172">
        <v>1</v>
      </c>
      <c r="Y172">
        <v>1</v>
      </c>
      <c r="Z172">
        <v>0</v>
      </c>
      <c r="AA172">
        <v>0</v>
      </c>
      <c r="AB172">
        <v>1</v>
      </c>
      <c r="AC172">
        <v>0</v>
      </c>
      <c r="AD172">
        <v>1</v>
      </c>
      <c r="AE172" s="5">
        <v>12.3952083333333</v>
      </c>
      <c r="AF172" s="5">
        <v>3.99060232426304</v>
      </c>
      <c r="AG172" s="5">
        <v>0.809418673219238</v>
      </c>
      <c r="AH172" s="5">
        <v>15.5263157894737</v>
      </c>
      <c r="AI172" s="5">
        <v>0.459647654411774</v>
      </c>
      <c r="AJ172" s="5">
        <v>-0.476627457257861</v>
      </c>
      <c r="AK172" s="5">
        <v>0.476627457257861</v>
      </c>
      <c r="AL172" s="5">
        <v>0.459647654411774</v>
      </c>
      <c r="AM172" s="5">
        <v>9.98060231888395</v>
      </c>
      <c r="AN172" s="5">
        <v>-0.417658943556199</v>
      </c>
      <c r="AO172" s="5">
        <v>-1.3</v>
      </c>
      <c r="AP172" s="5">
        <v>3314.44680161703</v>
      </c>
      <c r="AQ172" s="5">
        <v>2.17852386673025</v>
      </c>
      <c r="AR172" s="5">
        <v>0</v>
      </c>
      <c r="AS172" s="5">
        <v>4.79453718407182</v>
      </c>
      <c r="AT172" s="5">
        <v>0</v>
      </c>
      <c r="AU172" s="5">
        <v>0</v>
      </c>
      <c r="AV172" s="5">
        <v>0</v>
      </c>
      <c r="AW172" s="5">
        <v>0</v>
      </c>
      <c r="AX172" s="5">
        <v>5.10652739484071</v>
      </c>
      <c r="AY172" s="5">
        <v>-7.29710978835979</v>
      </c>
      <c r="AZ172" s="5">
        <v>0.833333333333333</v>
      </c>
      <c r="BA172" s="5">
        <v>1</v>
      </c>
    </row>
    <row r="173" hidden="1" spans="1:53">
      <c r="A173" t="s">
        <v>53</v>
      </c>
      <c r="B173" t="s">
        <v>54</v>
      </c>
      <c r="C173" t="s">
        <v>55</v>
      </c>
      <c r="D173" s="4" t="s">
        <v>65</v>
      </c>
      <c r="E173">
        <v>0.97265</v>
      </c>
      <c r="F173">
        <v>6.7</v>
      </c>
      <c r="G173">
        <v>1</v>
      </c>
      <c r="H173">
        <v>17</v>
      </c>
      <c r="I173">
        <v>44</v>
      </c>
      <c r="J173">
        <v>36</v>
      </c>
      <c r="K173">
        <v>20</v>
      </c>
      <c r="L173" t="s">
        <v>57</v>
      </c>
      <c r="M173" t="s">
        <v>58</v>
      </c>
      <c r="N173" t="s">
        <v>86</v>
      </c>
      <c r="O173">
        <v>0.200915569200002</v>
      </c>
      <c r="P173">
        <f t="shared" si="7"/>
        <v>0.206565125379121</v>
      </c>
      <c r="Q173">
        <f t="shared" si="6"/>
        <v>-1.57713953916337</v>
      </c>
      <c r="R173">
        <v>150</v>
      </c>
      <c r="S173" t="s">
        <v>60</v>
      </c>
      <c r="T173" t="s">
        <v>61</v>
      </c>
      <c r="U173" t="s">
        <v>62</v>
      </c>
      <c r="V173">
        <v>1</v>
      </c>
      <c r="W173">
        <v>0</v>
      </c>
      <c r="X173">
        <v>1</v>
      </c>
      <c r="Y173">
        <v>1</v>
      </c>
      <c r="Z173">
        <v>0</v>
      </c>
      <c r="AA173">
        <v>0</v>
      </c>
      <c r="AB173">
        <v>1</v>
      </c>
      <c r="AC173">
        <v>0</v>
      </c>
      <c r="AD173">
        <v>1</v>
      </c>
      <c r="AE173" s="5">
        <v>12.6956944444444</v>
      </c>
      <c r="AF173" s="5">
        <v>7.51923752834467</v>
      </c>
      <c r="AG173" s="5">
        <v>0.567423483996869</v>
      </c>
      <c r="AH173" s="5">
        <v>16.6086956521739</v>
      </c>
      <c r="AI173" s="5">
        <v>0.459647303367286</v>
      </c>
      <c r="AJ173" s="5">
        <v>-0.280752999575136</v>
      </c>
      <c r="AK173" s="5">
        <v>0.459647303367286</v>
      </c>
      <c r="AL173" s="5">
        <v>0.280752999575136</v>
      </c>
      <c r="AM173" s="5">
        <v>9.97962409166519</v>
      </c>
      <c r="AN173" s="5">
        <v>-0.433260944725331</v>
      </c>
      <c r="AO173" s="5">
        <v>-1</v>
      </c>
      <c r="AP173" s="5">
        <v>14934.5346948423</v>
      </c>
      <c r="AQ173" s="5">
        <v>2.69882520469918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4.55274987369036</v>
      </c>
      <c r="AY173" s="5">
        <v>-7.5938637329932</v>
      </c>
      <c r="AZ173" s="5">
        <v>1</v>
      </c>
      <c r="BA173" s="5">
        <v>1</v>
      </c>
    </row>
    <row r="174" hidden="1" spans="1:53">
      <c r="A174" t="s">
        <v>53</v>
      </c>
      <c r="B174" t="s">
        <v>54</v>
      </c>
      <c r="C174" t="s">
        <v>55</v>
      </c>
      <c r="D174" s="4" t="s">
        <v>66</v>
      </c>
      <c r="E174">
        <v>1.23047</v>
      </c>
      <c r="F174">
        <v>6.7</v>
      </c>
      <c r="G174">
        <v>1</v>
      </c>
      <c r="H174">
        <v>17</v>
      </c>
      <c r="I174">
        <v>44</v>
      </c>
      <c r="J174">
        <v>36</v>
      </c>
      <c r="K174">
        <v>20</v>
      </c>
      <c r="L174" t="s">
        <v>57</v>
      </c>
      <c r="M174" t="s">
        <v>58</v>
      </c>
      <c r="N174" t="s">
        <v>86</v>
      </c>
      <c r="O174">
        <v>0.861849390399998</v>
      </c>
      <c r="P174">
        <f t="shared" si="7"/>
        <v>0.700422920022429</v>
      </c>
      <c r="Q174">
        <f t="shared" si="6"/>
        <v>-0.356070954916218</v>
      </c>
      <c r="R174">
        <v>150</v>
      </c>
      <c r="S174" t="s">
        <v>60</v>
      </c>
      <c r="T174" t="s">
        <v>61</v>
      </c>
      <c r="U174" t="s">
        <v>62</v>
      </c>
      <c r="V174">
        <v>1</v>
      </c>
      <c r="W174">
        <v>0</v>
      </c>
      <c r="X174">
        <v>1</v>
      </c>
      <c r="Y174">
        <v>1</v>
      </c>
      <c r="Z174">
        <v>0</v>
      </c>
      <c r="AA174">
        <v>0</v>
      </c>
      <c r="AB174">
        <v>1</v>
      </c>
      <c r="AC174">
        <v>0</v>
      </c>
      <c r="AD174">
        <v>1</v>
      </c>
      <c r="AE174" s="5">
        <v>12.8254166666667</v>
      </c>
      <c r="AF174" s="5">
        <v>4.27882137345679</v>
      </c>
      <c r="AG174" s="5">
        <v>0.653062667189842</v>
      </c>
      <c r="AH174" s="5">
        <v>16.12</v>
      </c>
      <c r="AI174" s="5">
        <v>0.459647294455008</v>
      </c>
      <c r="AJ174" s="5">
        <v>-0.47662745733429</v>
      </c>
      <c r="AK174" s="5">
        <v>0.47662745733429</v>
      </c>
      <c r="AL174" s="5">
        <v>0.459647294455008</v>
      </c>
      <c r="AM174" s="5">
        <v>9.90907137329749</v>
      </c>
      <c r="AN174" s="5">
        <v>-0.449718247791216</v>
      </c>
      <c r="AO174" s="5">
        <v>-1.58</v>
      </c>
      <c r="AP174" s="5">
        <v>39741.8973369129</v>
      </c>
      <c r="AQ174" s="5">
        <v>2.73920148528388</v>
      </c>
      <c r="AR174" s="5">
        <v>0</v>
      </c>
      <c r="AS174" s="5">
        <v>4.79453718407182</v>
      </c>
      <c r="AT174" s="5">
        <v>0</v>
      </c>
      <c r="AU174" s="5">
        <v>0</v>
      </c>
      <c r="AV174" s="5">
        <v>0</v>
      </c>
      <c r="AW174" s="5">
        <v>0</v>
      </c>
      <c r="AX174" s="5">
        <v>5.10652739484071</v>
      </c>
      <c r="AY174" s="5">
        <v>-7.69383775037793</v>
      </c>
      <c r="AZ174" s="5">
        <v>0.875</v>
      </c>
      <c r="BA174" s="5">
        <v>1</v>
      </c>
    </row>
    <row r="175" hidden="1" spans="1:53">
      <c r="A175" t="s">
        <v>53</v>
      </c>
      <c r="B175" t="s">
        <v>54</v>
      </c>
      <c r="C175" t="s">
        <v>55</v>
      </c>
      <c r="D175" s="4" t="s">
        <v>67</v>
      </c>
      <c r="E175">
        <v>0.585939999999999</v>
      </c>
      <c r="F175">
        <v>6.7</v>
      </c>
      <c r="G175">
        <v>1</v>
      </c>
      <c r="H175">
        <v>17</v>
      </c>
      <c r="I175">
        <v>44</v>
      </c>
      <c r="J175">
        <v>36</v>
      </c>
      <c r="K175">
        <v>20</v>
      </c>
      <c r="L175" t="s">
        <v>57</v>
      </c>
      <c r="M175" t="s">
        <v>58</v>
      </c>
      <c r="N175" t="s">
        <v>86</v>
      </c>
      <c r="O175">
        <v>1.23505927</v>
      </c>
      <c r="P175">
        <f t="shared" si="7"/>
        <v>2.1078254940779</v>
      </c>
      <c r="Q175">
        <f t="shared" si="6"/>
        <v>0.745656844556944</v>
      </c>
      <c r="R175">
        <v>150</v>
      </c>
      <c r="S175" t="s">
        <v>60</v>
      </c>
      <c r="T175" t="s">
        <v>61</v>
      </c>
      <c r="U175" t="s">
        <v>62</v>
      </c>
      <c r="V175">
        <v>1</v>
      </c>
      <c r="W175">
        <v>0</v>
      </c>
      <c r="X175">
        <v>1</v>
      </c>
      <c r="Y175">
        <v>1</v>
      </c>
      <c r="Z175">
        <v>0</v>
      </c>
      <c r="AA175">
        <v>0</v>
      </c>
      <c r="AB175">
        <v>1</v>
      </c>
      <c r="AC175">
        <v>0</v>
      </c>
      <c r="AD175">
        <v>1</v>
      </c>
      <c r="AE175" s="5">
        <v>13.0371419123205</v>
      </c>
      <c r="AF175" s="5">
        <v>7.66829457707096</v>
      </c>
      <c r="AG175" s="5">
        <v>0.402493807679921</v>
      </c>
      <c r="AH175" s="5">
        <v>16.8965517241379</v>
      </c>
      <c r="AI175" s="5">
        <v>0.459647294440031</v>
      </c>
      <c r="AJ175" s="5">
        <v>-0.280752999575314</v>
      </c>
      <c r="AK175" s="5">
        <v>0.459647294440031</v>
      </c>
      <c r="AL175" s="5">
        <v>0.280752999575314</v>
      </c>
      <c r="AM175" s="5">
        <v>9.90856544965598</v>
      </c>
      <c r="AN175" s="5">
        <v>-0.457885273814649</v>
      </c>
      <c r="AO175" s="5">
        <v>-1.28</v>
      </c>
      <c r="AP175" s="5">
        <v>176558.643253875</v>
      </c>
      <c r="AQ175" s="5">
        <v>3.26474212239717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4.55274987369036</v>
      </c>
      <c r="AY175" s="5">
        <v>-7.88274914441085</v>
      </c>
      <c r="AZ175" s="5">
        <v>1</v>
      </c>
      <c r="BA175" s="5">
        <v>1</v>
      </c>
    </row>
    <row r="176" hidden="1" spans="1:53">
      <c r="A176" t="s">
        <v>53</v>
      </c>
      <c r="B176" t="s">
        <v>54</v>
      </c>
      <c r="C176" t="s">
        <v>55</v>
      </c>
      <c r="D176" s="4" t="s">
        <v>68</v>
      </c>
      <c r="E176">
        <v>0.46875</v>
      </c>
      <c r="F176">
        <v>6.7</v>
      </c>
      <c r="G176">
        <v>1</v>
      </c>
      <c r="H176">
        <v>17</v>
      </c>
      <c r="I176">
        <v>44</v>
      </c>
      <c r="J176">
        <v>36</v>
      </c>
      <c r="K176">
        <v>20</v>
      </c>
      <c r="L176" t="s">
        <v>57</v>
      </c>
      <c r="M176" t="s">
        <v>58</v>
      </c>
      <c r="N176" t="s">
        <v>86</v>
      </c>
      <c r="O176">
        <v>0.9165887286</v>
      </c>
      <c r="P176">
        <f t="shared" si="7"/>
        <v>1.95538928768</v>
      </c>
      <c r="Q176">
        <f t="shared" si="6"/>
        <v>0.670589297747743</v>
      </c>
      <c r="R176">
        <v>150</v>
      </c>
      <c r="S176" t="s">
        <v>60</v>
      </c>
      <c r="T176" t="s">
        <v>61</v>
      </c>
      <c r="U176" t="s">
        <v>62</v>
      </c>
      <c r="V176">
        <v>1</v>
      </c>
      <c r="W176">
        <v>0</v>
      </c>
      <c r="X176">
        <v>1</v>
      </c>
      <c r="Y176">
        <v>1</v>
      </c>
      <c r="Z176">
        <v>0</v>
      </c>
      <c r="AA176">
        <v>0</v>
      </c>
      <c r="AB176">
        <v>1</v>
      </c>
      <c r="AC176">
        <v>0</v>
      </c>
      <c r="AD176">
        <v>1</v>
      </c>
      <c r="AE176" s="5">
        <v>12.1252083333333</v>
      </c>
      <c r="AF176" s="5">
        <v>3.79034722222222</v>
      </c>
      <c r="AG176" s="5">
        <v>0.795108310685598</v>
      </c>
      <c r="AH176" s="5">
        <v>15.0625</v>
      </c>
      <c r="AI176" s="5">
        <v>0.459665733935349</v>
      </c>
      <c r="AJ176" s="5">
        <v>-0.476627440416371</v>
      </c>
      <c r="AK176" s="5">
        <v>0.476627440416371</v>
      </c>
      <c r="AL176" s="5">
        <v>0.459665733935349</v>
      </c>
      <c r="AM176" s="5">
        <v>10.044436145131</v>
      </c>
      <c r="AN176" s="5">
        <v>-0.389909625311938</v>
      </c>
      <c r="AO176" s="5">
        <v>-1.16</v>
      </c>
      <c r="AP176" s="5">
        <v>939.726830541714</v>
      </c>
      <c r="AQ176" s="5">
        <v>1.77550667912426</v>
      </c>
      <c r="AR176" s="5">
        <v>0</v>
      </c>
      <c r="AS176" s="5">
        <v>4.79453718407182</v>
      </c>
      <c r="AT176" s="5">
        <v>0</v>
      </c>
      <c r="AU176" s="5">
        <v>0</v>
      </c>
      <c r="AV176" s="5">
        <v>0</v>
      </c>
      <c r="AW176" s="5">
        <v>0</v>
      </c>
      <c r="AX176" s="5">
        <v>5.10652739484071</v>
      </c>
      <c r="AY176" s="5">
        <v>-7.00458333333333</v>
      </c>
      <c r="AZ176" s="5">
        <v>0.8</v>
      </c>
      <c r="BA176" s="5">
        <v>1</v>
      </c>
    </row>
    <row r="177" hidden="1" spans="1:53">
      <c r="A177" t="s">
        <v>53</v>
      </c>
      <c r="B177" t="s">
        <v>69</v>
      </c>
      <c r="C177" t="s">
        <v>55</v>
      </c>
      <c r="D177" s="4" t="s">
        <v>56</v>
      </c>
      <c r="E177">
        <v>0.269531</v>
      </c>
      <c r="F177">
        <v>6.7</v>
      </c>
      <c r="G177">
        <v>1</v>
      </c>
      <c r="H177">
        <v>17</v>
      </c>
      <c r="I177">
        <v>44</v>
      </c>
      <c r="J177">
        <v>36</v>
      </c>
      <c r="K177">
        <v>20</v>
      </c>
      <c r="L177" t="s">
        <v>57</v>
      </c>
      <c r="M177" t="s">
        <v>58</v>
      </c>
      <c r="N177" t="s">
        <v>86</v>
      </c>
      <c r="O177">
        <v>26.5941471645</v>
      </c>
      <c r="P177">
        <f t="shared" si="7"/>
        <v>98.6682317228816</v>
      </c>
      <c r="Q177">
        <f t="shared" si="6"/>
        <v>4.59176302758638</v>
      </c>
      <c r="R177">
        <v>150</v>
      </c>
      <c r="S177" t="s">
        <v>60</v>
      </c>
      <c r="T177" t="s">
        <v>61</v>
      </c>
      <c r="U177" t="s">
        <v>62</v>
      </c>
      <c r="V177">
        <v>1</v>
      </c>
      <c r="W177">
        <v>0</v>
      </c>
      <c r="X177">
        <v>1</v>
      </c>
      <c r="Y177">
        <v>1</v>
      </c>
      <c r="Z177">
        <v>0</v>
      </c>
      <c r="AA177">
        <v>0</v>
      </c>
      <c r="AB177">
        <v>1</v>
      </c>
      <c r="AC177">
        <v>0</v>
      </c>
      <c r="AD177">
        <v>1</v>
      </c>
      <c r="AE177" s="5">
        <v>11.7505787037037</v>
      </c>
      <c r="AF177" s="5">
        <v>3.53256944444444</v>
      </c>
      <c r="AG177" s="5">
        <v>0.712441776552488</v>
      </c>
      <c r="AH177" s="5">
        <v>14.3846153846154</v>
      </c>
      <c r="AI177" s="5">
        <v>0.460094687009651</v>
      </c>
      <c r="AJ177" s="5">
        <v>-0.476625664235965</v>
      </c>
      <c r="AK177" s="5">
        <v>0.476625664235965</v>
      </c>
      <c r="AL177" s="5">
        <v>0.460094687009651</v>
      </c>
      <c r="AM177" s="5">
        <v>10.1473915373546</v>
      </c>
      <c r="AN177" s="5">
        <v>-0.347050241178715</v>
      </c>
      <c r="AO177" s="5">
        <v>-1.02</v>
      </c>
      <c r="AP177" s="5">
        <v>260.658615872357</v>
      </c>
      <c r="AQ177" s="5">
        <v>1.67669845728037</v>
      </c>
      <c r="AR177" s="5">
        <v>0</v>
      </c>
      <c r="AS177" s="5">
        <v>4.79453718407182</v>
      </c>
      <c r="AT177" s="5">
        <v>0</v>
      </c>
      <c r="AU177" s="5">
        <v>0</v>
      </c>
      <c r="AV177" s="5">
        <v>0</v>
      </c>
      <c r="AW177" s="5">
        <v>0</v>
      </c>
      <c r="AX177" s="5">
        <v>5.10652739484071</v>
      </c>
      <c r="AY177" s="5">
        <v>-6.60229166666667</v>
      </c>
      <c r="AZ177" s="5">
        <v>0.75</v>
      </c>
      <c r="BA177" s="5">
        <v>1</v>
      </c>
    </row>
    <row r="178" hidden="1" spans="1:53">
      <c r="A178" t="s">
        <v>53</v>
      </c>
      <c r="B178" t="s">
        <v>69</v>
      </c>
      <c r="C178" t="s">
        <v>55</v>
      </c>
      <c r="D178" s="4" t="s">
        <v>63</v>
      </c>
      <c r="E178">
        <v>1.429689</v>
      </c>
      <c r="F178">
        <v>6.7</v>
      </c>
      <c r="G178">
        <v>1</v>
      </c>
      <c r="H178">
        <v>17</v>
      </c>
      <c r="I178">
        <v>44</v>
      </c>
      <c r="J178">
        <v>36</v>
      </c>
      <c r="K178">
        <v>20</v>
      </c>
      <c r="L178" t="s">
        <v>57</v>
      </c>
      <c r="M178" t="s">
        <v>58</v>
      </c>
      <c r="N178" t="s">
        <v>86</v>
      </c>
      <c r="O178">
        <v>1.6418203065</v>
      </c>
      <c r="P178">
        <f t="shared" si="7"/>
        <v>1.14837584013027</v>
      </c>
      <c r="Q178">
        <f t="shared" si="6"/>
        <v>0.13834863119104</v>
      </c>
      <c r="R178">
        <v>150</v>
      </c>
      <c r="S178" t="s">
        <v>60</v>
      </c>
      <c r="T178" t="s">
        <v>61</v>
      </c>
      <c r="U178" t="s">
        <v>62</v>
      </c>
      <c r="V178">
        <v>1</v>
      </c>
      <c r="W178">
        <v>0</v>
      </c>
      <c r="X178">
        <v>1</v>
      </c>
      <c r="Y178">
        <v>1</v>
      </c>
      <c r="Z178">
        <v>0</v>
      </c>
      <c r="AA178">
        <v>0</v>
      </c>
      <c r="AB178">
        <v>1</v>
      </c>
      <c r="AC178">
        <v>0</v>
      </c>
      <c r="AD178">
        <v>1</v>
      </c>
      <c r="AE178" s="5">
        <v>12.2120833333333</v>
      </c>
      <c r="AF178" s="5">
        <v>7.00097222222222</v>
      </c>
      <c r="AG178" s="5">
        <v>0.642528075697275</v>
      </c>
      <c r="AH178" s="5">
        <v>16.1176470588235</v>
      </c>
      <c r="AI178" s="5">
        <v>0.459694901747447</v>
      </c>
      <c r="AJ178" s="5">
        <v>-0.280752981483328</v>
      </c>
      <c r="AK178" s="5">
        <v>0.459694901747447</v>
      </c>
      <c r="AL178" s="5">
        <v>0.280752981483328</v>
      </c>
      <c r="AM178" s="5">
        <v>10.1452721658031</v>
      </c>
      <c r="AN178" s="5">
        <v>-0.382289160206052</v>
      </c>
      <c r="AO178" s="5">
        <v>-0.72</v>
      </c>
      <c r="AP178" s="5">
        <v>1212.20967645111</v>
      </c>
      <c r="AQ178" s="5">
        <v>2.16502218725737</v>
      </c>
      <c r="AR178" s="5">
        <v>0</v>
      </c>
      <c r="AS178" s="5">
        <v>0</v>
      </c>
      <c r="AT178" s="5">
        <v>0</v>
      </c>
      <c r="AU178" s="5">
        <v>0</v>
      </c>
      <c r="AV178" s="5">
        <v>0</v>
      </c>
      <c r="AW178" s="5">
        <v>0</v>
      </c>
      <c r="AX178" s="5">
        <v>4.55274987369036</v>
      </c>
      <c r="AY178" s="5">
        <v>-7.13430555555556</v>
      </c>
      <c r="AZ178" s="5">
        <v>1</v>
      </c>
      <c r="BA178" s="5">
        <v>1</v>
      </c>
    </row>
    <row r="179" hidden="1" spans="1:53">
      <c r="A179" t="s">
        <v>53</v>
      </c>
      <c r="B179" t="s">
        <v>69</v>
      </c>
      <c r="C179" t="s">
        <v>55</v>
      </c>
      <c r="D179" s="4" t="s">
        <v>64</v>
      </c>
      <c r="E179">
        <v>0.29297</v>
      </c>
      <c r="F179">
        <v>6.7</v>
      </c>
      <c r="G179">
        <v>1</v>
      </c>
      <c r="H179">
        <v>17</v>
      </c>
      <c r="I179">
        <v>44</v>
      </c>
      <c r="J179">
        <v>36</v>
      </c>
      <c r="K179">
        <v>20</v>
      </c>
      <c r="L179" t="s">
        <v>57</v>
      </c>
      <c r="M179" t="s">
        <v>58</v>
      </c>
      <c r="N179" t="s">
        <v>86</v>
      </c>
      <c r="O179">
        <v>0.5861325807</v>
      </c>
      <c r="P179">
        <f t="shared" si="7"/>
        <v>2.00065733931802</v>
      </c>
      <c r="Q179">
        <f t="shared" si="6"/>
        <v>0.693475796218914</v>
      </c>
      <c r="R179">
        <v>150</v>
      </c>
      <c r="S179" t="s">
        <v>60</v>
      </c>
      <c r="T179" t="s">
        <v>61</v>
      </c>
      <c r="U179" t="s">
        <v>62</v>
      </c>
      <c r="V179">
        <v>1</v>
      </c>
      <c r="W179">
        <v>0</v>
      </c>
      <c r="X179">
        <v>1</v>
      </c>
      <c r="Y179">
        <v>1</v>
      </c>
      <c r="Z179">
        <v>0</v>
      </c>
      <c r="AA179">
        <v>0</v>
      </c>
      <c r="AB179">
        <v>1</v>
      </c>
      <c r="AC179">
        <v>0</v>
      </c>
      <c r="AD179">
        <v>1</v>
      </c>
      <c r="AE179" s="5">
        <v>12.3952083333333</v>
      </c>
      <c r="AF179" s="5">
        <v>3.99060232426304</v>
      </c>
      <c r="AG179" s="5">
        <v>0.809418673219238</v>
      </c>
      <c r="AH179" s="5">
        <v>15.5263157894737</v>
      </c>
      <c r="AI179" s="5">
        <v>0.459647654411774</v>
      </c>
      <c r="AJ179" s="5">
        <v>-0.476627457257861</v>
      </c>
      <c r="AK179" s="5">
        <v>0.476627457257861</v>
      </c>
      <c r="AL179" s="5">
        <v>0.459647654411774</v>
      </c>
      <c r="AM179" s="5">
        <v>9.98060231888395</v>
      </c>
      <c r="AN179" s="5">
        <v>-0.417658943556199</v>
      </c>
      <c r="AO179" s="5">
        <v>-1.3</v>
      </c>
      <c r="AP179" s="5">
        <v>3314.44680161703</v>
      </c>
      <c r="AQ179" s="5">
        <v>2.17852386673025</v>
      </c>
      <c r="AR179" s="5">
        <v>0</v>
      </c>
      <c r="AS179" s="5">
        <v>4.79453718407182</v>
      </c>
      <c r="AT179" s="5">
        <v>0</v>
      </c>
      <c r="AU179" s="5">
        <v>0</v>
      </c>
      <c r="AV179" s="5">
        <v>0</v>
      </c>
      <c r="AW179" s="5">
        <v>0</v>
      </c>
      <c r="AX179" s="5">
        <v>5.10652739484071</v>
      </c>
      <c r="AY179" s="5">
        <v>-7.29710978835979</v>
      </c>
      <c r="AZ179" s="5">
        <v>0.833333333333333</v>
      </c>
      <c r="BA179" s="5">
        <v>1</v>
      </c>
    </row>
    <row r="180" hidden="1" spans="1:53">
      <c r="A180" t="s">
        <v>53</v>
      </c>
      <c r="B180" t="s">
        <v>69</v>
      </c>
      <c r="C180" t="s">
        <v>55</v>
      </c>
      <c r="D180" s="4" t="s">
        <v>65</v>
      </c>
      <c r="E180">
        <v>0.43359</v>
      </c>
      <c r="F180">
        <v>6.7</v>
      </c>
      <c r="G180">
        <v>1</v>
      </c>
      <c r="H180">
        <v>17</v>
      </c>
      <c r="I180">
        <v>44</v>
      </c>
      <c r="J180">
        <v>36</v>
      </c>
      <c r="K180">
        <v>20</v>
      </c>
      <c r="L180" t="s">
        <v>57</v>
      </c>
      <c r="M180" t="s">
        <v>58</v>
      </c>
      <c r="N180" t="s">
        <v>86</v>
      </c>
      <c r="O180">
        <v>0.196073735399997</v>
      </c>
      <c r="P180">
        <f t="shared" si="7"/>
        <v>0.452210003459482</v>
      </c>
      <c r="Q180">
        <f t="shared" si="6"/>
        <v>-0.793608597623812</v>
      </c>
      <c r="R180">
        <v>150</v>
      </c>
      <c r="S180" t="s">
        <v>60</v>
      </c>
      <c r="T180" t="s">
        <v>61</v>
      </c>
      <c r="U180" t="s">
        <v>62</v>
      </c>
      <c r="V180">
        <v>1</v>
      </c>
      <c r="W180">
        <v>0</v>
      </c>
      <c r="X180">
        <v>1</v>
      </c>
      <c r="Y180">
        <v>1</v>
      </c>
      <c r="Z180">
        <v>0</v>
      </c>
      <c r="AA180">
        <v>0</v>
      </c>
      <c r="AB180">
        <v>1</v>
      </c>
      <c r="AC180">
        <v>0</v>
      </c>
      <c r="AD180">
        <v>1</v>
      </c>
      <c r="AE180" s="5">
        <v>12.6956944444444</v>
      </c>
      <c r="AF180" s="5">
        <v>7.51923752834467</v>
      </c>
      <c r="AG180" s="5">
        <v>0.567423483996869</v>
      </c>
      <c r="AH180" s="5">
        <v>16.6086956521739</v>
      </c>
      <c r="AI180" s="5">
        <v>0.459647303367286</v>
      </c>
      <c r="AJ180" s="5">
        <v>-0.280752999575136</v>
      </c>
      <c r="AK180" s="5">
        <v>0.459647303367286</v>
      </c>
      <c r="AL180" s="5">
        <v>0.280752999575136</v>
      </c>
      <c r="AM180" s="5">
        <v>9.97962409166519</v>
      </c>
      <c r="AN180" s="5">
        <v>-0.433260944725331</v>
      </c>
      <c r="AO180" s="5">
        <v>-1</v>
      </c>
      <c r="AP180" s="5">
        <v>14934.5346948423</v>
      </c>
      <c r="AQ180" s="5">
        <v>2.69882520469918</v>
      </c>
      <c r="AR180" s="5">
        <v>0</v>
      </c>
      <c r="AS180" s="5">
        <v>0</v>
      </c>
      <c r="AT180" s="5">
        <v>0</v>
      </c>
      <c r="AU180" s="5">
        <v>0</v>
      </c>
      <c r="AV180" s="5">
        <v>0</v>
      </c>
      <c r="AW180" s="5">
        <v>0</v>
      </c>
      <c r="AX180" s="5">
        <v>4.55274987369036</v>
      </c>
      <c r="AY180" s="5">
        <v>-7.5938637329932</v>
      </c>
      <c r="AZ180" s="5">
        <v>1</v>
      </c>
      <c r="BA180" s="5">
        <v>1</v>
      </c>
    </row>
    <row r="181" hidden="1" spans="1:53">
      <c r="A181" t="s">
        <v>53</v>
      </c>
      <c r="B181" t="s">
        <v>69</v>
      </c>
      <c r="C181" t="s">
        <v>55</v>
      </c>
      <c r="D181" s="4" t="s">
        <v>66</v>
      </c>
      <c r="E181">
        <v>0.5625</v>
      </c>
      <c r="F181">
        <v>6.7</v>
      </c>
      <c r="G181">
        <v>1</v>
      </c>
      <c r="H181">
        <v>17</v>
      </c>
      <c r="I181">
        <v>44</v>
      </c>
      <c r="J181">
        <v>36</v>
      </c>
      <c r="K181">
        <v>20</v>
      </c>
      <c r="L181" t="s">
        <v>57</v>
      </c>
      <c r="M181" t="s">
        <v>58</v>
      </c>
      <c r="N181" t="s">
        <v>86</v>
      </c>
      <c r="O181">
        <v>0.782431245000001</v>
      </c>
      <c r="P181">
        <f t="shared" si="7"/>
        <v>1.39098888</v>
      </c>
      <c r="Q181">
        <f t="shared" si="6"/>
        <v>0.330014918660611</v>
      </c>
      <c r="R181">
        <v>150</v>
      </c>
      <c r="S181" t="s">
        <v>60</v>
      </c>
      <c r="T181" t="s">
        <v>61</v>
      </c>
      <c r="U181" t="s">
        <v>62</v>
      </c>
      <c r="V181">
        <v>1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1</v>
      </c>
      <c r="AE181" s="5">
        <v>12.8254166666667</v>
      </c>
      <c r="AF181" s="5">
        <v>4.27882137345679</v>
      </c>
      <c r="AG181" s="5">
        <v>0.653062667189842</v>
      </c>
      <c r="AH181" s="5">
        <v>16.12</v>
      </c>
      <c r="AI181" s="5">
        <v>0.459647294455008</v>
      </c>
      <c r="AJ181" s="5">
        <v>-0.47662745733429</v>
      </c>
      <c r="AK181" s="5">
        <v>0.47662745733429</v>
      </c>
      <c r="AL181" s="5">
        <v>0.459647294455008</v>
      </c>
      <c r="AM181" s="5">
        <v>9.90907137329749</v>
      </c>
      <c r="AN181" s="5">
        <v>-0.449718247791216</v>
      </c>
      <c r="AO181" s="5">
        <v>-1.58</v>
      </c>
      <c r="AP181" s="5">
        <v>39741.8973369129</v>
      </c>
      <c r="AQ181" s="5">
        <v>2.73920148528388</v>
      </c>
      <c r="AR181" s="5">
        <v>0</v>
      </c>
      <c r="AS181" s="5">
        <v>4.79453718407182</v>
      </c>
      <c r="AT181" s="5">
        <v>0</v>
      </c>
      <c r="AU181" s="5">
        <v>0</v>
      </c>
      <c r="AV181" s="5">
        <v>0</v>
      </c>
      <c r="AW181" s="5">
        <v>0</v>
      </c>
      <c r="AX181" s="5">
        <v>5.10652739484071</v>
      </c>
      <c r="AY181" s="5">
        <v>-7.69383775037793</v>
      </c>
      <c r="AZ181" s="5">
        <v>0.875</v>
      </c>
      <c r="BA181" s="5">
        <v>1</v>
      </c>
    </row>
    <row r="182" hidden="1" spans="1:53">
      <c r="A182" t="s">
        <v>53</v>
      </c>
      <c r="B182" t="s">
        <v>69</v>
      </c>
      <c r="C182" t="s">
        <v>55</v>
      </c>
      <c r="D182" s="4" t="s">
        <v>67</v>
      </c>
      <c r="E182">
        <v>0.25781</v>
      </c>
      <c r="F182">
        <v>6.7</v>
      </c>
      <c r="G182">
        <v>1</v>
      </c>
      <c r="H182">
        <v>17</v>
      </c>
      <c r="I182">
        <v>44</v>
      </c>
      <c r="J182">
        <v>36</v>
      </c>
      <c r="K182">
        <v>20</v>
      </c>
      <c r="L182" t="s">
        <v>57</v>
      </c>
      <c r="M182" t="s">
        <v>58</v>
      </c>
      <c r="N182" t="s">
        <v>86</v>
      </c>
      <c r="O182">
        <v>1.3677926409</v>
      </c>
      <c r="P182">
        <f t="shared" si="7"/>
        <v>5.30542896280206</v>
      </c>
      <c r="Q182">
        <f t="shared" si="6"/>
        <v>1.66873062889159</v>
      </c>
      <c r="R182">
        <v>150</v>
      </c>
      <c r="S182" t="s">
        <v>60</v>
      </c>
      <c r="T182" t="s">
        <v>61</v>
      </c>
      <c r="U182" t="s">
        <v>62</v>
      </c>
      <c r="V182">
        <v>1</v>
      </c>
      <c r="W182">
        <v>0</v>
      </c>
      <c r="X182">
        <v>1</v>
      </c>
      <c r="Y182">
        <v>1</v>
      </c>
      <c r="Z182">
        <v>0</v>
      </c>
      <c r="AA182">
        <v>0</v>
      </c>
      <c r="AB182">
        <v>1</v>
      </c>
      <c r="AC182">
        <v>0</v>
      </c>
      <c r="AD182">
        <v>1</v>
      </c>
      <c r="AE182" s="5">
        <v>13.0371419123205</v>
      </c>
      <c r="AF182" s="5">
        <v>7.66829457707096</v>
      </c>
      <c r="AG182" s="5">
        <v>0.402493807679921</v>
      </c>
      <c r="AH182" s="5">
        <v>16.8965517241379</v>
      </c>
      <c r="AI182" s="5">
        <v>0.459647294440031</v>
      </c>
      <c r="AJ182" s="5">
        <v>-0.280752999575314</v>
      </c>
      <c r="AK182" s="5">
        <v>0.459647294440031</v>
      </c>
      <c r="AL182" s="5">
        <v>0.280752999575314</v>
      </c>
      <c r="AM182" s="5">
        <v>9.90856544965598</v>
      </c>
      <c r="AN182" s="5">
        <v>-0.457885273814649</v>
      </c>
      <c r="AO182" s="5">
        <v>-1.28</v>
      </c>
      <c r="AP182" s="5">
        <v>176558.643253875</v>
      </c>
      <c r="AQ182" s="5">
        <v>3.26474212239717</v>
      </c>
      <c r="AR182" s="5">
        <v>0</v>
      </c>
      <c r="AS182" s="5">
        <v>0</v>
      </c>
      <c r="AT182" s="5">
        <v>0</v>
      </c>
      <c r="AU182" s="5">
        <v>0</v>
      </c>
      <c r="AV182" s="5">
        <v>0</v>
      </c>
      <c r="AW182" s="5">
        <v>0</v>
      </c>
      <c r="AX182" s="5">
        <v>4.55274987369036</v>
      </c>
      <c r="AY182" s="5">
        <v>-7.88274914441085</v>
      </c>
      <c r="AZ182" s="5">
        <v>1</v>
      </c>
      <c r="BA182" s="5">
        <v>1</v>
      </c>
    </row>
    <row r="183" hidden="1" spans="1:53">
      <c r="A183" t="s">
        <v>53</v>
      </c>
      <c r="B183" t="s">
        <v>69</v>
      </c>
      <c r="C183" t="s">
        <v>55</v>
      </c>
      <c r="D183" s="4" t="s">
        <v>68</v>
      </c>
      <c r="E183">
        <v>0.58594</v>
      </c>
      <c r="F183">
        <v>6.7</v>
      </c>
      <c r="G183">
        <v>1</v>
      </c>
      <c r="H183">
        <v>17</v>
      </c>
      <c r="I183">
        <v>44</v>
      </c>
      <c r="J183">
        <v>36</v>
      </c>
      <c r="K183">
        <v>20</v>
      </c>
      <c r="L183" t="s">
        <v>57</v>
      </c>
      <c r="M183" t="s">
        <v>58</v>
      </c>
      <c r="N183" t="s">
        <v>86</v>
      </c>
      <c r="O183">
        <v>0.964302327000002</v>
      </c>
      <c r="P183">
        <f t="shared" si="7"/>
        <v>1.64573561627471</v>
      </c>
      <c r="Q183">
        <f t="shared" si="6"/>
        <v>0.498187467406469</v>
      </c>
      <c r="R183">
        <v>150</v>
      </c>
      <c r="S183" t="s">
        <v>60</v>
      </c>
      <c r="T183" t="s">
        <v>61</v>
      </c>
      <c r="U183" t="s">
        <v>62</v>
      </c>
      <c r="V183">
        <v>1</v>
      </c>
      <c r="W183">
        <v>0</v>
      </c>
      <c r="X183">
        <v>1</v>
      </c>
      <c r="Y183">
        <v>1</v>
      </c>
      <c r="Z183">
        <v>0</v>
      </c>
      <c r="AA183">
        <v>0</v>
      </c>
      <c r="AB183">
        <v>1</v>
      </c>
      <c r="AC183">
        <v>0</v>
      </c>
      <c r="AD183">
        <v>1</v>
      </c>
      <c r="AE183" s="5">
        <v>12.1252083333333</v>
      </c>
      <c r="AF183" s="5">
        <v>3.79034722222222</v>
      </c>
      <c r="AG183" s="5">
        <v>0.795108310685598</v>
      </c>
      <c r="AH183" s="5">
        <v>15.0625</v>
      </c>
      <c r="AI183" s="5">
        <v>0.459665733935349</v>
      </c>
      <c r="AJ183" s="5">
        <v>-0.476627440416371</v>
      </c>
      <c r="AK183" s="5">
        <v>0.476627440416371</v>
      </c>
      <c r="AL183" s="5">
        <v>0.459665733935349</v>
      </c>
      <c r="AM183" s="5">
        <v>10.044436145131</v>
      </c>
      <c r="AN183" s="5">
        <v>-0.389909625311938</v>
      </c>
      <c r="AO183" s="5">
        <v>-1.16</v>
      </c>
      <c r="AP183" s="5">
        <v>939.726830541714</v>
      </c>
      <c r="AQ183" s="5">
        <v>1.77550667912426</v>
      </c>
      <c r="AR183" s="5">
        <v>0</v>
      </c>
      <c r="AS183" s="5">
        <v>4.79453718407182</v>
      </c>
      <c r="AT183" s="5">
        <v>0</v>
      </c>
      <c r="AU183" s="5">
        <v>0</v>
      </c>
      <c r="AV183" s="5">
        <v>0</v>
      </c>
      <c r="AW183" s="5">
        <v>0</v>
      </c>
      <c r="AX183" s="5">
        <v>5.10652739484071</v>
      </c>
      <c r="AY183" s="5">
        <v>-7.00458333333333</v>
      </c>
      <c r="AZ183" s="5">
        <v>0.8</v>
      </c>
      <c r="BA183" s="5">
        <v>1</v>
      </c>
    </row>
    <row r="184" hidden="1" spans="1:53">
      <c r="A184" t="s">
        <v>53</v>
      </c>
      <c r="B184" t="s">
        <v>70</v>
      </c>
      <c r="C184" t="s">
        <v>55</v>
      </c>
      <c r="D184" s="4" t="s">
        <v>56</v>
      </c>
      <c r="E184">
        <v>0.996094</v>
      </c>
      <c r="F184">
        <v>6.7</v>
      </c>
      <c r="G184">
        <v>1</v>
      </c>
      <c r="H184">
        <v>17</v>
      </c>
      <c r="I184">
        <v>44</v>
      </c>
      <c r="J184">
        <v>36</v>
      </c>
      <c r="K184">
        <v>20</v>
      </c>
      <c r="L184" t="s">
        <v>57</v>
      </c>
      <c r="M184" t="s">
        <v>58</v>
      </c>
      <c r="N184" t="s">
        <v>86</v>
      </c>
      <c r="O184">
        <v>15.67451898506</v>
      </c>
      <c r="P184">
        <f t="shared" si="7"/>
        <v>15.7359837375388</v>
      </c>
      <c r="Q184">
        <f t="shared" si="6"/>
        <v>2.75595004763038</v>
      </c>
      <c r="R184">
        <v>150</v>
      </c>
      <c r="S184" t="s">
        <v>60</v>
      </c>
      <c r="T184" t="s">
        <v>61</v>
      </c>
      <c r="U184" t="s">
        <v>62</v>
      </c>
      <c r="V184">
        <v>1</v>
      </c>
      <c r="W184">
        <v>0</v>
      </c>
      <c r="X184">
        <v>1</v>
      </c>
      <c r="Y184">
        <v>1</v>
      </c>
      <c r="Z184">
        <v>0</v>
      </c>
      <c r="AA184">
        <v>0</v>
      </c>
      <c r="AB184">
        <v>1</v>
      </c>
      <c r="AC184">
        <v>0</v>
      </c>
      <c r="AD184">
        <v>1</v>
      </c>
      <c r="AE184" s="5">
        <v>11.7505787037037</v>
      </c>
      <c r="AF184" s="5">
        <v>3.53256944444444</v>
      </c>
      <c r="AG184" s="5">
        <v>0.712441776552488</v>
      </c>
      <c r="AH184" s="5">
        <v>14.3846153846154</v>
      </c>
      <c r="AI184" s="5">
        <v>0.460094687009651</v>
      </c>
      <c r="AJ184" s="5">
        <v>-0.476625664235965</v>
      </c>
      <c r="AK184" s="5">
        <v>0.476625664235965</v>
      </c>
      <c r="AL184" s="5">
        <v>0.460094687009651</v>
      </c>
      <c r="AM184" s="5">
        <v>10.1473915373546</v>
      </c>
      <c r="AN184" s="5">
        <v>-0.347050241178715</v>
      </c>
      <c r="AO184" s="5">
        <v>-1.02</v>
      </c>
      <c r="AP184" s="5">
        <v>260.658615872357</v>
      </c>
      <c r="AQ184" s="5">
        <v>1.67669845728037</v>
      </c>
      <c r="AR184" s="5">
        <v>0</v>
      </c>
      <c r="AS184" s="5">
        <v>4.79453718407182</v>
      </c>
      <c r="AT184" s="5">
        <v>0</v>
      </c>
      <c r="AU184" s="5">
        <v>0</v>
      </c>
      <c r="AV184" s="5">
        <v>0</v>
      </c>
      <c r="AW184" s="5">
        <v>0</v>
      </c>
      <c r="AX184" s="5">
        <v>5.10652739484071</v>
      </c>
      <c r="AY184" s="5">
        <v>-6.60229166666667</v>
      </c>
      <c r="AZ184" s="5">
        <v>0.75</v>
      </c>
      <c r="BA184" s="5">
        <v>1</v>
      </c>
    </row>
    <row r="185" hidden="1" spans="1:53">
      <c r="A185" t="s">
        <v>53</v>
      </c>
      <c r="B185" t="s">
        <v>70</v>
      </c>
      <c r="C185" t="s">
        <v>55</v>
      </c>
      <c r="D185" s="4" t="s">
        <v>63</v>
      </c>
      <c r="E185">
        <v>0.269536</v>
      </c>
      <c r="F185">
        <v>6.7</v>
      </c>
      <c r="G185">
        <v>1</v>
      </c>
      <c r="H185">
        <v>17</v>
      </c>
      <c r="I185">
        <v>44</v>
      </c>
      <c r="J185">
        <v>36</v>
      </c>
      <c r="K185">
        <v>20</v>
      </c>
      <c r="L185" t="s">
        <v>57</v>
      </c>
      <c r="M185" t="s">
        <v>58</v>
      </c>
      <c r="N185" t="s">
        <v>86</v>
      </c>
      <c r="O185">
        <v>0.990548304460001</v>
      </c>
      <c r="P185">
        <f t="shared" si="7"/>
        <v>3.67501300182536</v>
      </c>
      <c r="Q185">
        <f t="shared" si="6"/>
        <v>1.30155667057021</v>
      </c>
      <c r="R185">
        <v>150</v>
      </c>
      <c r="S185" t="s">
        <v>60</v>
      </c>
      <c r="T185" t="s">
        <v>61</v>
      </c>
      <c r="U185" t="s">
        <v>62</v>
      </c>
      <c r="V185">
        <v>1</v>
      </c>
      <c r="W185">
        <v>0</v>
      </c>
      <c r="X185">
        <v>1</v>
      </c>
      <c r="Y185">
        <v>1</v>
      </c>
      <c r="Z185">
        <v>0</v>
      </c>
      <c r="AA185">
        <v>0</v>
      </c>
      <c r="AB185">
        <v>1</v>
      </c>
      <c r="AC185">
        <v>0</v>
      </c>
      <c r="AD185">
        <v>1</v>
      </c>
      <c r="AE185" s="5">
        <v>12.2120833333333</v>
      </c>
      <c r="AF185" s="5">
        <v>7.00097222222222</v>
      </c>
      <c r="AG185" s="5">
        <v>0.642528075697275</v>
      </c>
      <c r="AH185" s="5">
        <v>16.1176470588235</v>
      </c>
      <c r="AI185" s="5">
        <v>0.459694901747447</v>
      </c>
      <c r="AJ185" s="5">
        <v>-0.280752981483328</v>
      </c>
      <c r="AK185" s="5">
        <v>0.459694901747447</v>
      </c>
      <c r="AL185" s="5">
        <v>0.280752981483328</v>
      </c>
      <c r="AM185" s="5">
        <v>10.1452721658031</v>
      </c>
      <c r="AN185" s="5">
        <v>-0.382289160206052</v>
      </c>
      <c r="AO185" s="5">
        <v>-0.72</v>
      </c>
      <c r="AP185" s="5">
        <v>1212.20967645111</v>
      </c>
      <c r="AQ185" s="5">
        <v>2.16502218725737</v>
      </c>
      <c r="AR185" s="5">
        <v>0</v>
      </c>
      <c r="AS185" s="5">
        <v>0</v>
      </c>
      <c r="AT185" s="5">
        <v>0</v>
      </c>
      <c r="AU185" s="5">
        <v>0</v>
      </c>
      <c r="AV185" s="5">
        <v>0</v>
      </c>
      <c r="AW185" s="5">
        <v>0</v>
      </c>
      <c r="AX185" s="5">
        <v>4.55274987369036</v>
      </c>
      <c r="AY185" s="5">
        <v>-7.13430555555556</v>
      </c>
      <c r="AZ185" s="5">
        <v>1</v>
      </c>
      <c r="BA185" s="5">
        <v>1</v>
      </c>
    </row>
    <row r="186" hidden="1" spans="1:53">
      <c r="A186" t="s">
        <v>53</v>
      </c>
      <c r="B186" t="s">
        <v>70</v>
      </c>
      <c r="C186" t="s">
        <v>55</v>
      </c>
      <c r="D186" s="4" t="s">
        <v>64</v>
      </c>
      <c r="E186">
        <v>0.0586</v>
      </c>
      <c r="F186">
        <v>6.7</v>
      </c>
      <c r="G186">
        <v>1</v>
      </c>
      <c r="H186">
        <v>17</v>
      </c>
      <c r="I186">
        <v>44</v>
      </c>
      <c r="J186">
        <v>36</v>
      </c>
      <c r="K186">
        <v>20</v>
      </c>
      <c r="L186" t="s">
        <v>57</v>
      </c>
      <c r="M186" t="s">
        <v>58</v>
      </c>
      <c r="N186" t="s">
        <v>86</v>
      </c>
      <c r="O186">
        <v>0.495426917179999</v>
      </c>
      <c r="P186">
        <f t="shared" si="7"/>
        <v>8.45438425221841</v>
      </c>
      <c r="Q186">
        <f t="shared" si="6"/>
        <v>2.1346851532312</v>
      </c>
      <c r="R186">
        <v>150</v>
      </c>
      <c r="S186" t="s">
        <v>60</v>
      </c>
      <c r="T186" t="s">
        <v>61</v>
      </c>
      <c r="U186" t="s">
        <v>62</v>
      </c>
      <c r="V186">
        <v>1</v>
      </c>
      <c r="W186">
        <v>0</v>
      </c>
      <c r="X186">
        <v>1</v>
      </c>
      <c r="Y186">
        <v>1</v>
      </c>
      <c r="Z186">
        <v>0</v>
      </c>
      <c r="AA186">
        <v>0</v>
      </c>
      <c r="AB186">
        <v>1</v>
      </c>
      <c r="AC186">
        <v>0</v>
      </c>
      <c r="AD186">
        <v>1</v>
      </c>
      <c r="AE186" s="5">
        <v>12.3952083333333</v>
      </c>
      <c r="AF186" s="5">
        <v>3.99060232426304</v>
      </c>
      <c r="AG186" s="5">
        <v>0.809418673219238</v>
      </c>
      <c r="AH186" s="5">
        <v>15.5263157894737</v>
      </c>
      <c r="AI186" s="5">
        <v>0.459647654411774</v>
      </c>
      <c r="AJ186" s="5">
        <v>-0.476627457257861</v>
      </c>
      <c r="AK186" s="5">
        <v>0.476627457257861</v>
      </c>
      <c r="AL186" s="5">
        <v>0.459647654411774</v>
      </c>
      <c r="AM186" s="5">
        <v>9.98060231888395</v>
      </c>
      <c r="AN186" s="5">
        <v>-0.417658943556199</v>
      </c>
      <c r="AO186" s="5">
        <v>-1.3</v>
      </c>
      <c r="AP186" s="5">
        <v>3314.44680161703</v>
      </c>
      <c r="AQ186" s="5">
        <v>2.17852386673025</v>
      </c>
      <c r="AR186" s="5">
        <v>0</v>
      </c>
      <c r="AS186" s="5">
        <v>4.79453718407182</v>
      </c>
      <c r="AT186" s="5">
        <v>0</v>
      </c>
      <c r="AU186" s="5">
        <v>0</v>
      </c>
      <c r="AV186" s="5">
        <v>0</v>
      </c>
      <c r="AW186" s="5">
        <v>0</v>
      </c>
      <c r="AX186" s="5">
        <v>5.10652739484071</v>
      </c>
      <c r="AY186" s="5">
        <v>-7.29710978835979</v>
      </c>
      <c r="AZ186" s="5">
        <v>0.833333333333333</v>
      </c>
      <c r="BA186" s="5">
        <v>1</v>
      </c>
    </row>
    <row r="187" hidden="1" spans="1:53">
      <c r="A187" t="s">
        <v>53</v>
      </c>
      <c r="B187" t="s">
        <v>70</v>
      </c>
      <c r="C187" t="s">
        <v>55</v>
      </c>
      <c r="D187" s="4" t="s">
        <v>65</v>
      </c>
      <c r="E187">
        <v>0.08203</v>
      </c>
      <c r="F187">
        <v>6.7</v>
      </c>
      <c r="G187">
        <v>1</v>
      </c>
      <c r="H187">
        <v>17</v>
      </c>
      <c r="I187">
        <v>44</v>
      </c>
      <c r="J187">
        <v>36</v>
      </c>
      <c r="K187">
        <v>20</v>
      </c>
      <c r="L187" t="s">
        <v>57</v>
      </c>
      <c r="M187" t="s">
        <v>58</v>
      </c>
      <c r="N187" t="s">
        <v>86</v>
      </c>
      <c r="O187">
        <v>0.198248167780002</v>
      </c>
      <c r="P187">
        <f t="shared" si="7"/>
        <v>2.41677639619654</v>
      </c>
      <c r="Q187">
        <f t="shared" si="6"/>
        <v>0.882434584490389</v>
      </c>
      <c r="R187">
        <v>150</v>
      </c>
      <c r="S187" t="s">
        <v>60</v>
      </c>
      <c r="T187" t="s">
        <v>61</v>
      </c>
      <c r="U187" t="s">
        <v>62</v>
      </c>
      <c r="V187">
        <v>1</v>
      </c>
      <c r="W187">
        <v>0</v>
      </c>
      <c r="X187">
        <v>1</v>
      </c>
      <c r="Y187">
        <v>1</v>
      </c>
      <c r="Z187">
        <v>0</v>
      </c>
      <c r="AA187">
        <v>0</v>
      </c>
      <c r="AB187">
        <v>1</v>
      </c>
      <c r="AC187">
        <v>0</v>
      </c>
      <c r="AD187">
        <v>1</v>
      </c>
      <c r="AE187" s="5">
        <v>12.6956944444444</v>
      </c>
      <c r="AF187" s="5">
        <v>7.51923752834467</v>
      </c>
      <c r="AG187" s="5">
        <v>0.567423483996869</v>
      </c>
      <c r="AH187" s="5">
        <v>16.6086956521739</v>
      </c>
      <c r="AI187" s="5">
        <v>0.459647303367286</v>
      </c>
      <c r="AJ187" s="5">
        <v>-0.280752999575136</v>
      </c>
      <c r="AK187" s="5">
        <v>0.459647303367286</v>
      </c>
      <c r="AL187" s="5">
        <v>0.280752999575136</v>
      </c>
      <c r="AM187" s="5">
        <v>9.97962409166519</v>
      </c>
      <c r="AN187" s="5">
        <v>-0.433260944725331</v>
      </c>
      <c r="AO187" s="5">
        <v>-1</v>
      </c>
      <c r="AP187" s="5">
        <v>14934.5346948423</v>
      </c>
      <c r="AQ187" s="5">
        <v>2.69882520469918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4.55274987369036</v>
      </c>
      <c r="AY187" s="5">
        <v>-7.5938637329932</v>
      </c>
      <c r="AZ187" s="5">
        <v>1</v>
      </c>
      <c r="BA187" s="5">
        <v>1</v>
      </c>
    </row>
    <row r="188" hidden="1" spans="1:53">
      <c r="A188" t="s">
        <v>53</v>
      </c>
      <c r="B188" t="s">
        <v>70</v>
      </c>
      <c r="C188" t="s">
        <v>55</v>
      </c>
      <c r="D188" s="4" t="s">
        <v>66</v>
      </c>
      <c r="E188">
        <v>0.29297</v>
      </c>
      <c r="F188">
        <v>6.7</v>
      </c>
      <c r="G188">
        <v>1</v>
      </c>
      <c r="H188">
        <v>17</v>
      </c>
      <c r="I188">
        <v>44</v>
      </c>
      <c r="J188">
        <v>36</v>
      </c>
      <c r="K188">
        <v>20</v>
      </c>
      <c r="L188" t="s">
        <v>57</v>
      </c>
      <c r="M188" t="s">
        <v>58</v>
      </c>
      <c r="N188" t="s">
        <v>86</v>
      </c>
      <c r="O188">
        <v>0.793094514419999</v>
      </c>
      <c r="P188">
        <f t="shared" si="7"/>
        <v>2.70708439232686</v>
      </c>
      <c r="Q188">
        <f t="shared" si="6"/>
        <v>0.995872185737961</v>
      </c>
      <c r="R188">
        <v>150</v>
      </c>
      <c r="S188" t="s">
        <v>60</v>
      </c>
      <c r="T188" t="s">
        <v>61</v>
      </c>
      <c r="U188" t="s">
        <v>62</v>
      </c>
      <c r="V188">
        <v>1</v>
      </c>
      <c r="W188">
        <v>0</v>
      </c>
      <c r="X188">
        <v>1</v>
      </c>
      <c r="Y188">
        <v>1</v>
      </c>
      <c r="Z188">
        <v>0</v>
      </c>
      <c r="AA188">
        <v>0</v>
      </c>
      <c r="AB188">
        <v>1</v>
      </c>
      <c r="AC188">
        <v>0</v>
      </c>
      <c r="AD188">
        <v>1</v>
      </c>
      <c r="AE188" s="5">
        <v>12.8254166666667</v>
      </c>
      <c r="AF188" s="5">
        <v>4.27882137345679</v>
      </c>
      <c r="AG188" s="5">
        <v>0.653062667189842</v>
      </c>
      <c r="AH188" s="5">
        <v>16.12</v>
      </c>
      <c r="AI188" s="5">
        <v>0.459647294455008</v>
      </c>
      <c r="AJ188" s="5">
        <v>-0.47662745733429</v>
      </c>
      <c r="AK188" s="5">
        <v>0.47662745733429</v>
      </c>
      <c r="AL188" s="5">
        <v>0.459647294455008</v>
      </c>
      <c r="AM188" s="5">
        <v>9.90907137329749</v>
      </c>
      <c r="AN188" s="5">
        <v>-0.449718247791216</v>
      </c>
      <c r="AO188" s="5">
        <v>-1.58</v>
      </c>
      <c r="AP188" s="5">
        <v>39741.8973369129</v>
      </c>
      <c r="AQ188" s="5">
        <v>2.73920148528388</v>
      </c>
      <c r="AR188" s="5">
        <v>0</v>
      </c>
      <c r="AS188" s="5">
        <v>4.79453718407182</v>
      </c>
      <c r="AT188" s="5">
        <v>0</v>
      </c>
      <c r="AU188" s="5">
        <v>0</v>
      </c>
      <c r="AV188" s="5">
        <v>0</v>
      </c>
      <c r="AW188" s="5">
        <v>0</v>
      </c>
      <c r="AX188" s="5">
        <v>5.10652739484071</v>
      </c>
      <c r="AY188" s="5">
        <v>-7.69383775037793</v>
      </c>
      <c r="AZ188" s="5">
        <v>0.875</v>
      </c>
      <c r="BA188" s="5">
        <v>1</v>
      </c>
    </row>
    <row r="189" hidden="1" spans="1:53">
      <c r="A189" t="s">
        <v>53</v>
      </c>
      <c r="B189" t="s">
        <v>70</v>
      </c>
      <c r="C189" t="s">
        <v>55</v>
      </c>
      <c r="D189" s="4" t="s">
        <v>67</v>
      </c>
      <c r="E189">
        <v>0.0585999999999998</v>
      </c>
      <c r="F189">
        <v>6.7</v>
      </c>
      <c r="G189">
        <v>1</v>
      </c>
      <c r="H189">
        <v>17</v>
      </c>
      <c r="I189">
        <v>44</v>
      </c>
      <c r="J189">
        <v>36</v>
      </c>
      <c r="K189">
        <v>20</v>
      </c>
      <c r="L189" t="s">
        <v>57</v>
      </c>
      <c r="M189" t="s">
        <v>58</v>
      </c>
      <c r="N189" t="s">
        <v>86</v>
      </c>
      <c r="O189">
        <v>1.31292308628</v>
      </c>
      <c r="P189">
        <f t="shared" si="7"/>
        <v>22.4048308238909</v>
      </c>
      <c r="Q189">
        <f t="shared" si="6"/>
        <v>3.10927659739018</v>
      </c>
      <c r="R189">
        <v>150</v>
      </c>
      <c r="S189" t="s">
        <v>60</v>
      </c>
      <c r="T189" t="s">
        <v>61</v>
      </c>
      <c r="U189" t="s">
        <v>62</v>
      </c>
      <c r="V189">
        <v>1</v>
      </c>
      <c r="W189">
        <v>0</v>
      </c>
      <c r="X189">
        <v>1</v>
      </c>
      <c r="Y189">
        <v>1</v>
      </c>
      <c r="Z189">
        <v>0</v>
      </c>
      <c r="AA189">
        <v>0</v>
      </c>
      <c r="AB189">
        <v>1</v>
      </c>
      <c r="AC189">
        <v>0</v>
      </c>
      <c r="AD189">
        <v>1</v>
      </c>
      <c r="AE189" s="5">
        <v>13.0371419123205</v>
      </c>
      <c r="AF189" s="5">
        <v>7.66829457707096</v>
      </c>
      <c r="AG189" s="5">
        <v>0.402493807679921</v>
      </c>
      <c r="AH189" s="5">
        <v>16.8965517241379</v>
      </c>
      <c r="AI189" s="5">
        <v>0.459647294440031</v>
      </c>
      <c r="AJ189" s="5">
        <v>-0.280752999575314</v>
      </c>
      <c r="AK189" s="5">
        <v>0.459647294440031</v>
      </c>
      <c r="AL189" s="5">
        <v>0.280752999575314</v>
      </c>
      <c r="AM189" s="5">
        <v>9.90856544965598</v>
      </c>
      <c r="AN189" s="5">
        <v>-0.457885273814649</v>
      </c>
      <c r="AO189" s="5">
        <v>-1.28</v>
      </c>
      <c r="AP189" s="5">
        <v>176558.643253875</v>
      </c>
      <c r="AQ189" s="5">
        <v>3.26474212239717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4.55274987369036</v>
      </c>
      <c r="AY189" s="5">
        <v>-7.88274914441085</v>
      </c>
      <c r="AZ189" s="5">
        <v>1</v>
      </c>
      <c r="BA189" s="5">
        <v>1</v>
      </c>
    </row>
    <row r="190" hidden="1" spans="1:53">
      <c r="A190" t="s">
        <v>53</v>
      </c>
      <c r="B190" t="s">
        <v>70</v>
      </c>
      <c r="C190" t="s">
        <v>55</v>
      </c>
      <c r="D190" s="4" t="s">
        <v>68</v>
      </c>
      <c r="E190">
        <v>0.0234300000000003</v>
      </c>
      <c r="F190">
        <v>6.7</v>
      </c>
      <c r="G190">
        <v>1</v>
      </c>
      <c r="H190">
        <v>17</v>
      </c>
      <c r="I190">
        <v>44</v>
      </c>
      <c r="J190">
        <v>36</v>
      </c>
      <c r="K190">
        <v>20</v>
      </c>
      <c r="L190" t="s">
        <v>57</v>
      </c>
      <c r="M190" t="s">
        <v>58</v>
      </c>
      <c r="N190" t="s">
        <v>86</v>
      </c>
      <c r="O190">
        <v>0.903900024820001</v>
      </c>
      <c r="P190">
        <f t="shared" si="7"/>
        <v>38.5787462577887</v>
      </c>
      <c r="Q190">
        <f t="shared" si="6"/>
        <v>3.65270150974344</v>
      </c>
      <c r="R190">
        <v>150</v>
      </c>
      <c r="S190" t="s">
        <v>60</v>
      </c>
      <c r="T190" t="s">
        <v>61</v>
      </c>
      <c r="U190" t="s">
        <v>62</v>
      </c>
      <c r="V190">
        <v>1</v>
      </c>
      <c r="W190">
        <v>0</v>
      </c>
      <c r="X190">
        <v>1</v>
      </c>
      <c r="Y190">
        <v>1</v>
      </c>
      <c r="Z190">
        <v>0</v>
      </c>
      <c r="AA190">
        <v>0</v>
      </c>
      <c r="AB190">
        <v>1</v>
      </c>
      <c r="AC190">
        <v>0</v>
      </c>
      <c r="AD190">
        <v>1</v>
      </c>
      <c r="AE190" s="5">
        <v>12.1252083333333</v>
      </c>
      <c r="AF190" s="5">
        <v>3.79034722222222</v>
      </c>
      <c r="AG190" s="5">
        <v>0.795108310685598</v>
      </c>
      <c r="AH190" s="5">
        <v>15.0625</v>
      </c>
      <c r="AI190" s="5">
        <v>0.459665733935349</v>
      </c>
      <c r="AJ190" s="5">
        <v>-0.476627440416371</v>
      </c>
      <c r="AK190" s="5">
        <v>0.476627440416371</v>
      </c>
      <c r="AL190" s="5">
        <v>0.459665733935349</v>
      </c>
      <c r="AM190" s="5">
        <v>10.044436145131</v>
      </c>
      <c r="AN190" s="5">
        <v>-0.389909625311938</v>
      </c>
      <c r="AO190" s="5">
        <v>-1.16</v>
      </c>
      <c r="AP190" s="5">
        <v>939.726830541714</v>
      </c>
      <c r="AQ190" s="5">
        <v>1.77550667912426</v>
      </c>
      <c r="AR190" s="5">
        <v>0</v>
      </c>
      <c r="AS190" s="5">
        <v>4.79453718407182</v>
      </c>
      <c r="AT190" s="5">
        <v>0</v>
      </c>
      <c r="AU190" s="5">
        <v>0</v>
      </c>
      <c r="AV190" s="5">
        <v>0</v>
      </c>
      <c r="AW190" s="5">
        <v>0</v>
      </c>
      <c r="AX190" s="5">
        <v>5.10652739484071</v>
      </c>
      <c r="AY190" s="5">
        <v>-7.00458333333333</v>
      </c>
      <c r="AZ190" s="5">
        <v>0.8</v>
      </c>
      <c r="BA190" s="5">
        <v>1</v>
      </c>
    </row>
    <row r="191" hidden="1" spans="1:53">
      <c r="A191" t="s">
        <v>53</v>
      </c>
      <c r="B191" t="s">
        <v>71</v>
      </c>
      <c r="C191" t="s">
        <v>55</v>
      </c>
      <c r="D191" s="4" t="s">
        <v>56</v>
      </c>
      <c r="E191">
        <v>2.05078</v>
      </c>
      <c r="F191">
        <v>6.7</v>
      </c>
      <c r="G191">
        <v>1</v>
      </c>
      <c r="H191">
        <v>17</v>
      </c>
      <c r="I191">
        <v>44</v>
      </c>
      <c r="J191">
        <v>36</v>
      </c>
      <c r="K191">
        <v>20</v>
      </c>
      <c r="L191" t="s">
        <v>57</v>
      </c>
      <c r="M191" t="s">
        <v>58</v>
      </c>
      <c r="N191" t="s">
        <v>86</v>
      </c>
      <c r="O191">
        <v>33.6257213884</v>
      </c>
      <c r="P191">
        <f t="shared" si="7"/>
        <v>16.396552233004</v>
      </c>
      <c r="Q191">
        <f t="shared" si="6"/>
        <v>2.79707108303392</v>
      </c>
      <c r="R191">
        <v>150</v>
      </c>
      <c r="S191" t="s">
        <v>60</v>
      </c>
      <c r="T191" t="s">
        <v>61</v>
      </c>
      <c r="U191" t="s">
        <v>62</v>
      </c>
      <c r="V191">
        <v>1</v>
      </c>
      <c r="W191">
        <v>0</v>
      </c>
      <c r="X191">
        <v>1</v>
      </c>
      <c r="Y191">
        <v>1</v>
      </c>
      <c r="Z191">
        <v>0</v>
      </c>
      <c r="AA191">
        <v>0</v>
      </c>
      <c r="AB191">
        <v>1</v>
      </c>
      <c r="AC191">
        <v>0</v>
      </c>
      <c r="AD191">
        <v>1</v>
      </c>
      <c r="AE191" s="5">
        <v>11.7505787037037</v>
      </c>
      <c r="AF191" s="5">
        <v>3.53256944444444</v>
      </c>
      <c r="AG191" s="5">
        <v>0.712441776552488</v>
      </c>
      <c r="AH191" s="5">
        <v>14.3846153846154</v>
      </c>
      <c r="AI191" s="5">
        <v>0.460094687009651</v>
      </c>
      <c r="AJ191" s="5">
        <v>-0.476625664235965</v>
      </c>
      <c r="AK191" s="5">
        <v>0.476625664235965</v>
      </c>
      <c r="AL191" s="5">
        <v>0.460094687009651</v>
      </c>
      <c r="AM191" s="5">
        <v>10.1473915373546</v>
      </c>
      <c r="AN191" s="5">
        <v>-0.347050241178715</v>
      </c>
      <c r="AO191" s="5">
        <v>-1.02</v>
      </c>
      <c r="AP191" s="5">
        <v>260.658615872357</v>
      </c>
      <c r="AQ191" s="5">
        <v>1.67669845728037</v>
      </c>
      <c r="AR191" s="5">
        <v>0</v>
      </c>
      <c r="AS191" s="5">
        <v>4.79453718407182</v>
      </c>
      <c r="AT191" s="5">
        <v>0</v>
      </c>
      <c r="AU191" s="5">
        <v>0</v>
      </c>
      <c r="AV191" s="5">
        <v>0</v>
      </c>
      <c r="AW191" s="5">
        <v>0</v>
      </c>
      <c r="AX191" s="5">
        <v>5.10652739484071</v>
      </c>
      <c r="AY191" s="5">
        <v>-6.60229166666667</v>
      </c>
      <c r="AZ191" s="5">
        <v>0.75</v>
      </c>
      <c r="BA191" s="5">
        <v>1</v>
      </c>
    </row>
    <row r="192" hidden="1" spans="1:53">
      <c r="A192" t="s">
        <v>53</v>
      </c>
      <c r="B192" t="s">
        <v>71</v>
      </c>
      <c r="C192" t="s">
        <v>55</v>
      </c>
      <c r="D192" s="4" t="s">
        <v>63</v>
      </c>
      <c r="E192">
        <v>0.44531</v>
      </c>
      <c r="F192">
        <v>6.7</v>
      </c>
      <c r="G192">
        <v>1</v>
      </c>
      <c r="H192">
        <v>17</v>
      </c>
      <c r="I192">
        <v>44</v>
      </c>
      <c r="J192">
        <v>36</v>
      </c>
      <c r="K192">
        <v>20</v>
      </c>
      <c r="L192" t="s">
        <v>57</v>
      </c>
      <c r="M192" t="s">
        <v>58</v>
      </c>
      <c r="N192" t="s">
        <v>86</v>
      </c>
      <c r="O192">
        <v>3.3480877508</v>
      </c>
      <c r="P192">
        <f t="shared" si="7"/>
        <v>7.51855505333363</v>
      </c>
      <c r="Q192">
        <f t="shared" si="6"/>
        <v>2.01737397233604</v>
      </c>
      <c r="R192">
        <v>150</v>
      </c>
      <c r="S192" t="s">
        <v>60</v>
      </c>
      <c r="T192" t="s">
        <v>61</v>
      </c>
      <c r="U192" t="s">
        <v>62</v>
      </c>
      <c r="V192">
        <v>1</v>
      </c>
      <c r="W192">
        <v>0</v>
      </c>
      <c r="X192">
        <v>1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1</v>
      </c>
      <c r="AE192" s="5">
        <v>12.2120833333333</v>
      </c>
      <c r="AF192" s="5">
        <v>7.00097222222222</v>
      </c>
      <c r="AG192" s="5">
        <v>0.642528075697275</v>
      </c>
      <c r="AH192" s="5">
        <v>16.1176470588235</v>
      </c>
      <c r="AI192" s="5">
        <v>0.459694901747447</v>
      </c>
      <c r="AJ192" s="5">
        <v>-0.280752981483328</v>
      </c>
      <c r="AK192" s="5">
        <v>0.459694901747447</v>
      </c>
      <c r="AL192" s="5">
        <v>0.280752981483328</v>
      </c>
      <c r="AM192" s="5">
        <v>10.1452721658031</v>
      </c>
      <c r="AN192" s="5">
        <v>-0.382289160206052</v>
      </c>
      <c r="AO192" s="5">
        <v>-0.72</v>
      </c>
      <c r="AP192" s="5">
        <v>1212.20967645111</v>
      </c>
      <c r="AQ192" s="5">
        <v>2.16502218725737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4.55274987369036</v>
      </c>
      <c r="AY192" s="5">
        <v>-7.13430555555556</v>
      </c>
      <c r="AZ192" s="5">
        <v>1</v>
      </c>
      <c r="BA192" s="5">
        <v>1</v>
      </c>
    </row>
    <row r="193" hidden="1" spans="1:53">
      <c r="A193" t="s">
        <v>53</v>
      </c>
      <c r="B193" t="s">
        <v>71</v>
      </c>
      <c r="C193" t="s">
        <v>55</v>
      </c>
      <c r="D193" s="4" t="s">
        <v>64</v>
      </c>
      <c r="E193">
        <v>0.0585999999999998</v>
      </c>
      <c r="F193">
        <v>6.7</v>
      </c>
      <c r="G193">
        <v>1</v>
      </c>
      <c r="H193">
        <v>17</v>
      </c>
      <c r="I193">
        <v>44</v>
      </c>
      <c r="J193">
        <v>36</v>
      </c>
      <c r="K193">
        <v>20</v>
      </c>
      <c r="L193" t="s">
        <v>57</v>
      </c>
      <c r="M193" t="s">
        <v>58</v>
      </c>
      <c r="N193" t="s">
        <v>86</v>
      </c>
      <c r="O193">
        <v>0.4919753154</v>
      </c>
      <c r="P193">
        <f t="shared" si="7"/>
        <v>8.39548319795225</v>
      </c>
      <c r="Q193">
        <f t="shared" si="6"/>
        <v>2.12769384669947</v>
      </c>
      <c r="R193">
        <v>150</v>
      </c>
      <c r="S193" t="s">
        <v>60</v>
      </c>
      <c r="T193" t="s">
        <v>61</v>
      </c>
      <c r="U193" t="s">
        <v>62</v>
      </c>
      <c r="V193">
        <v>1</v>
      </c>
      <c r="W193">
        <v>0</v>
      </c>
      <c r="X193">
        <v>1</v>
      </c>
      <c r="Y193">
        <v>1</v>
      </c>
      <c r="Z193">
        <v>0</v>
      </c>
      <c r="AA193">
        <v>0</v>
      </c>
      <c r="AB193">
        <v>1</v>
      </c>
      <c r="AC193">
        <v>0</v>
      </c>
      <c r="AD193">
        <v>1</v>
      </c>
      <c r="AE193" s="5">
        <v>12.3952083333333</v>
      </c>
      <c r="AF193" s="5">
        <v>3.99060232426304</v>
      </c>
      <c r="AG193" s="5">
        <v>0.809418673219238</v>
      </c>
      <c r="AH193" s="5">
        <v>15.5263157894737</v>
      </c>
      <c r="AI193" s="5">
        <v>0.459647654411774</v>
      </c>
      <c r="AJ193" s="5">
        <v>-0.476627457257861</v>
      </c>
      <c r="AK193" s="5">
        <v>0.476627457257861</v>
      </c>
      <c r="AL193" s="5">
        <v>0.459647654411774</v>
      </c>
      <c r="AM193" s="5">
        <v>9.98060231888395</v>
      </c>
      <c r="AN193" s="5">
        <v>-0.417658943556199</v>
      </c>
      <c r="AO193" s="5">
        <v>-1.3</v>
      </c>
      <c r="AP193" s="5">
        <v>3314.44680161703</v>
      </c>
      <c r="AQ193" s="5">
        <v>2.17852386673025</v>
      </c>
      <c r="AR193" s="5">
        <v>0</v>
      </c>
      <c r="AS193" s="5">
        <v>4.79453718407182</v>
      </c>
      <c r="AT193" s="5">
        <v>0</v>
      </c>
      <c r="AU193" s="5">
        <v>0</v>
      </c>
      <c r="AV193" s="5">
        <v>0</v>
      </c>
      <c r="AW193" s="5">
        <v>0</v>
      </c>
      <c r="AX193" s="5">
        <v>5.10652739484071</v>
      </c>
      <c r="AY193" s="5">
        <v>-7.29710978835979</v>
      </c>
      <c r="AZ193" s="5">
        <v>0.833333333333333</v>
      </c>
      <c r="BA193" s="5">
        <v>1</v>
      </c>
    </row>
    <row r="194" hidden="1" spans="1:53">
      <c r="A194" t="s">
        <v>53</v>
      </c>
      <c r="B194" t="s">
        <v>71</v>
      </c>
      <c r="C194" t="s">
        <v>55</v>
      </c>
      <c r="D194" s="4" t="s">
        <v>65</v>
      </c>
      <c r="E194">
        <v>0.0351500000000002</v>
      </c>
      <c r="F194">
        <v>6.7</v>
      </c>
      <c r="G194">
        <v>1</v>
      </c>
      <c r="H194">
        <v>17</v>
      </c>
      <c r="I194">
        <v>44</v>
      </c>
      <c r="J194">
        <v>36</v>
      </c>
      <c r="K194">
        <v>20</v>
      </c>
      <c r="L194" t="s">
        <v>57</v>
      </c>
      <c r="M194" t="s">
        <v>58</v>
      </c>
      <c r="N194" t="s">
        <v>86</v>
      </c>
      <c r="O194">
        <v>0.247505725200001</v>
      </c>
      <c r="P194">
        <f t="shared" si="7"/>
        <v>7.04141465718349</v>
      </c>
      <c r="Q194">
        <f t="shared" si="6"/>
        <v>1.95180909560574</v>
      </c>
      <c r="R194">
        <v>150</v>
      </c>
      <c r="S194" t="s">
        <v>60</v>
      </c>
      <c r="T194" t="s">
        <v>61</v>
      </c>
      <c r="U194" t="s">
        <v>62</v>
      </c>
      <c r="V194">
        <v>1</v>
      </c>
      <c r="W194">
        <v>0</v>
      </c>
      <c r="X194">
        <v>1</v>
      </c>
      <c r="Y194">
        <v>1</v>
      </c>
      <c r="Z194">
        <v>0</v>
      </c>
      <c r="AA194">
        <v>0</v>
      </c>
      <c r="AB194">
        <v>1</v>
      </c>
      <c r="AC194">
        <v>0</v>
      </c>
      <c r="AD194">
        <v>1</v>
      </c>
      <c r="AE194" s="5">
        <v>12.6956944444444</v>
      </c>
      <c r="AF194" s="5">
        <v>7.51923752834467</v>
      </c>
      <c r="AG194" s="5">
        <v>0.567423483996869</v>
      </c>
      <c r="AH194" s="5">
        <v>16.6086956521739</v>
      </c>
      <c r="AI194" s="5">
        <v>0.459647303367286</v>
      </c>
      <c r="AJ194" s="5">
        <v>-0.280752999575136</v>
      </c>
      <c r="AK194" s="5">
        <v>0.459647303367286</v>
      </c>
      <c r="AL194" s="5">
        <v>0.280752999575136</v>
      </c>
      <c r="AM194" s="5">
        <v>9.97962409166519</v>
      </c>
      <c r="AN194" s="5">
        <v>-0.433260944725331</v>
      </c>
      <c r="AO194" s="5">
        <v>-1</v>
      </c>
      <c r="AP194" s="5">
        <v>14934.5346948423</v>
      </c>
      <c r="AQ194" s="5">
        <v>2.69882520469918</v>
      </c>
      <c r="AR194" s="5">
        <v>0</v>
      </c>
      <c r="AS194" s="5">
        <v>0</v>
      </c>
      <c r="AT194" s="5">
        <v>0</v>
      </c>
      <c r="AU194" s="5">
        <v>0</v>
      </c>
      <c r="AV194" s="5">
        <v>0</v>
      </c>
      <c r="AW194" s="5">
        <v>0</v>
      </c>
      <c r="AX194" s="5">
        <v>4.55274987369036</v>
      </c>
      <c r="AY194" s="5">
        <v>-7.5938637329932</v>
      </c>
      <c r="AZ194" s="5">
        <v>1</v>
      </c>
      <c r="BA194" s="5">
        <v>1</v>
      </c>
    </row>
    <row r="195" hidden="1" spans="1:53">
      <c r="A195" t="s">
        <v>53</v>
      </c>
      <c r="B195" t="s">
        <v>71</v>
      </c>
      <c r="C195" t="s">
        <v>55</v>
      </c>
      <c r="D195" s="4" t="s">
        <v>66</v>
      </c>
      <c r="E195">
        <v>0.375</v>
      </c>
      <c r="F195">
        <v>6.7</v>
      </c>
      <c r="G195">
        <v>1</v>
      </c>
      <c r="H195">
        <v>17</v>
      </c>
      <c r="I195">
        <v>44</v>
      </c>
      <c r="J195">
        <v>36</v>
      </c>
      <c r="K195">
        <v>20</v>
      </c>
      <c r="L195" t="s">
        <v>57</v>
      </c>
      <c r="M195" t="s">
        <v>58</v>
      </c>
      <c r="N195" t="s">
        <v>86</v>
      </c>
      <c r="O195">
        <v>0.702602120799996</v>
      </c>
      <c r="P195">
        <f t="shared" si="7"/>
        <v>1.87360565546666</v>
      </c>
      <c r="Q195">
        <f t="shared" ref="Q195:Q258" si="8">LN(P195)</f>
        <v>0.627864732359459</v>
      </c>
      <c r="R195">
        <v>150</v>
      </c>
      <c r="S195" t="s">
        <v>60</v>
      </c>
      <c r="T195" t="s">
        <v>61</v>
      </c>
      <c r="U195" t="s">
        <v>62</v>
      </c>
      <c r="V195">
        <v>1</v>
      </c>
      <c r="W195">
        <v>0</v>
      </c>
      <c r="X195">
        <v>1</v>
      </c>
      <c r="Y195">
        <v>1</v>
      </c>
      <c r="Z195">
        <v>0</v>
      </c>
      <c r="AA195">
        <v>0</v>
      </c>
      <c r="AB195">
        <v>1</v>
      </c>
      <c r="AC195">
        <v>0</v>
      </c>
      <c r="AD195">
        <v>1</v>
      </c>
      <c r="AE195" s="5">
        <v>12.8254166666667</v>
      </c>
      <c r="AF195" s="5">
        <v>4.27882137345679</v>
      </c>
      <c r="AG195" s="5">
        <v>0.653062667189842</v>
      </c>
      <c r="AH195" s="5">
        <v>16.12</v>
      </c>
      <c r="AI195" s="5">
        <v>0.459647294455008</v>
      </c>
      <c r="AJ195" s="5">
        <v>-0.47662745733429</v>
      </c>
      <c r="AK195" s="5">
        <v>0.47662745733429</v>
      </c>
      <c r="AL195" s="5">
        <v>0.459647294455008</v>
      </c>
      <c r="AM195" s="5">
        <v>9.90907137329749</v>
      </c>
      <c r="AN195" s="5">
        <v>-0.449718247791216</v>
      </c>
      <c r="AO195" s="5">
        <v>-1.58</v>
      </c>
      <c r="AP195" s="5">
        <v>39741.8973369129</v>
      </c>
      <c r="AQ195" s="5">
        <v>2.73920148528388</v>
      </c>
      <c r="AR195" s="5">
        <v>0</v>
      </c>
      <c r="AS195" s="5">
        <v>4.79453718407182</v>
      </c>
      <c r="AT195" s="5">
        <v>0</v>
      </c>
      <c r="AU195" s="5">
        <v>0</v>
      </c>
      <c r="AV195" s="5">
        <v>0</v>
      </c>
      <c r="AW195" s="5">
        <v>0</v>
      </c>
      <c r="AX195" s="5">
        <v>5.10652739484071</v>
      </c>
      <c r="AY195" s="5">
        <v>-7.69383775037793</v>
      </c>
      <c r="AZ195" s="5">
        <v>0.875</v>
      </c>
      <c r="BA195" s="5">
        <v>1</v>
      </c>
    </row>
    <row r="196" hidden="1" spans="1:53">
      <c r="A196" t="s">
        <v>53</v>
      </c>
      <c r="B196" t="s">
        <v>71</v>
      </c>
      <c r="C196" t="s">
        <v>55</v>
      </c>
      <c r="D196" s="4" t="s">
        <v>67</v>
      </c>
      <c r="E196">
        <v>0.10547</v>
      </c>
      <c r="F196">
        <v>6.7</v>
      </c>
      <c r="G196">
        <v>1</v>
      </c>
      <c r="H196">
        <v>17</v>
      </c>
      <c r="I196">
        <v>44</v>
      </c>
      <c r="J196">
        <v>36</v>
      </c>
      <c r="K196">
        <v>20</v>
      </c>
      <c r="L196" t="s">
        <v>57</v>
      </c>
      <c r="M196" t="s">
        <v>58</v>
      </c>
      <c r="N196" t="s">
        <v>86</v>
      </c>
      <c r="O196">
        <v>1.0823618866</v>
      </c>
      <c r="P196">
        <f t="shared" si="7"/>
        <v>10.2622725571253</v>
      </c>
      <c r="Q196">
        <f t="shared" si="8"/>
        <v>2.32847431201166</v>
      </c>
      <c r="R196">
        <v>150</v>
      </c>
      <c r="S196" t="s">
        <v>60</v>
      </c>
      <c r="T196" t="s">
        <v>61</v>
      </c>
      <c r="U196" t="s">
        <v>62</v>
      </c>
      <c r="V196">
        <v>1</v>
      </c>
      <c r="W196">
        <v>0</v>
      </c>
      <c r="X196">
        <v>1</v>
      </c>
      <c r="Y196">
        <v>1</v>
      </c>
      <c r="Z196">
        <v>0</v>
      </c>
      <c r="AA196">
        <v>0</v>
      </c>
      <c r="AB196">
        <v>1</v>
      </c>
      <c r="AC196">
        <v>0</v>
      </c>
      <c r="AD196">
        <v>1</v>
      </c>
      <c r="AE196" s="5">
        <v>13.0371419123205</v>
      </c>
      <c r="AF196" s="5">
        <v>7.66829457707096</v>
      </c>
      <c r="AG196" s="5">
        <v>0.402493807679921</v>
      </c>
      <c r="AH196" s="5">
        <v>16.8965517241379</v>
      </c>
      <c r="AI196" s="5">
        <v>0.459647294440031</v>
      </c>
      <c r="AJ196" s="5">
        <v>-0.280752999575314</v>
      </c>
      <c r="AK196" s="5">
        <v>0.459647294440031</v>
      </c>
      <c r="AL196" s="5">
        <v>0.280752999575314</v>
      </c>
      <c r="AM196" s="5">
        <v>9.90856544965598</v>
      </c>
      <c r="AN196" s="5">
        <v>-0.457885273814649</v>
      </c>
      <c r="AO196" s="5">
        <v>-1.28</v>
      </c>
      <c r="AP196" s="5">
        <v>176558.643253875</v>
      </c>
      <c r="AQ196" s="5">
        <v>3.26474212239717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4.55274987369036</v>
      </c>
      <c r="AY196" s="5">
        <v>-7.88274914441085</v>
      </c>
      <c r="AZ196" s="5">
        <v>1</v>
      </c>
      <c r="BA196" s="5">
        <v>1</v>
      </c>
    </row>
    <row r="197" hidden="1" spans="1:53">
      <c r="A197" t="s">
        <v>53</v>
      </c>
      <c r="B197" t="s">
        <v>71</v>
      </c>
      <c r="C197" t="s">
        <v>55</v>
      </c>
      <c r="D197" s="4" t="s">
        <v>68</v>
      </c>
      <c r="E197">
        <v>0.0351599999999999</v>
      </c>
      <c r="F197">
        <v>6.7</v>
      </c>
      <c r="G197">
        <v>1</v>
      </c>
      <c r="H197">
        <v>17</v>
      </c>
      <c r="I197">
        <v>44</v>
      </c>
      <c r="J197">
        <v>36</v>
      </c>
      <c r="K197">
        <v>20</v>
      </c>
      <c r="L197" t="s">
        <v>57</v>
      </c>
      <c r="M197" t="s">
        <v>58</v>
      </c>
      <c r="N197" t="s">
        <v>86</v>
      </c>
      <c r="O197">
        <v>0.947112192800002</v>
      </c>
      <c r="P197">
        <f t="shared" si="7"/>
        <v>26.9372068486918</v>
      </c>
      <c r="Q197">
        <f t="shared" si="8"/>
        <v>3.29350848515758</v>
      </c>
      <c r="R197">
        <v>150</v>
      </c>
      <c r="S197" t="s">
        <v>60</v>
      </c>
      <c r="T197" t="s">
        <v>61</v>
      </c>
      <c r="U197" t="s">
        <v>62</v>
      </c>
      <c r="V197">
        <v>1</v>
      </c>
      <c r="W197">
        <v>0</v>
      </c>
      <c r="X197">
        <v>1</v>
      </c>
      <c r="Y197">
        <v>1</v>
      </c>
      <c r="Z197">
        <v>0</v>
      </c>
      <c r="AA197">
        <v>0</v>
      </c>
      <c r="AB197">
        <v>1</v>
      </c>
      <c r="AC197">
        <v>0</v>
      </c>
      <c r="AD197">
        <v>1</v>
      </c>
      <c r="AE197" s="5">
        <v>12.1252083333333</v>
      </c>
      <c r="AF197" s="5">
        <v>3.79034722222222</v>
      </c>
      <c r="AG197" s="5">
        <v>0.795108310685598</v>
      </c>
      <c r="AH197" s="5">
        <v>15.0625</v>
      </c>
      <c r="AI197" s="5">
        <v>0.459665733935349</v>
      </c>
      <c r="AJ197" s="5">
        <v>-0.476627440416371</v>
      </c>
      <c r="AK197" s="5">
        <v>0.476627440416371</v>
      </c>
      <c r="AL197" s="5">
        <v>0.459665733935349</v>
      </c>
      <c r="AM197" s="5">
        <v>10.044436145131</v>
      </c>
      <c r="AN197" s="5">
        <v>-0.389909625311938</v>
      </c>
      <c r="AO197" s="5">
        <v>-1.16</v>
      </c>
      <c r="AP197" s="5">
        <v>939.726830541714</v>
      </c>
      <c r="AQ197" s="5">
        <v>1.77550667912426</v>
      </c>
      <c r="AR197" s="5">
        <v>0</v>
      </c>
      <c r="AS197" s="5">
        <v>4.79453718407182</v>
      </c>
      <c r="AT197" s="5">
        <v>0</v>
      </c>
      <c r="AU197" s="5">
        <v>0</v>
      </c>
      <c r="AV197" s="5">
        <v>0</v>
      </c>
      <c r="AW197" s="5">
        <v>0</v>
      </c>
      <c r="AX197" s="5">
        <v>5.10652739484071</v>
      </c>
      <c r="AY197" s="5">
        <v>-7.00458333333333</v>
      </c>
      <c r="AZ197" s="5">
        <v>0.8</v>
      </c>
      <c r="BA197" s="5">
        <v>1</v>
      </c>
    </row>
    <row r="198" hidden="1" spans="1:53">
      <c r="A198" t="s">
        <v>53</v>
      </c>
      <c r="B198" t="s">
        <v>72</v>
      </c>
      <c r="C198" t="s">
        <v>55</v>
      </c>
      <c r="D198" s="4" t="s">
        <v>56</v>
      </c>
      <c r="E198">
        <v>0.855469</v>
      </c>
      <c r="F198">
        <v>6.7</v>
      </c>
      <c r="G198">
        <v>1</v>
      </c>
      <c r="H198">
        <v>17</v>
      </c>
      <c r="I198">
        <v>44</v>
      </c>
      <c r="J198">
        <v>36</v>
      </c>
      <c r="K198">
        <v>20</v>
      </c>
      <c r="L198" t="s">
        <v>57</v>
      </c>
      <c r="M198" t="s">
        <v>58</v>
      </c>
      <c r="N198" t="s">
        <v>86</v>
      </c>
      <c r="O198">
        <v>8.22623581968</v>
      </c>
      <c r="P198">
        <f t="shared" si="7"/>
        <v>9.61605367310797</v>
      </c>
      <c r="Q198">
        <f t="shared" si="8"/>
        <v>2.26343395942328</v>
      </c>
      <c r="R198">
        <v>150</v>
      </c>
      <c r="S198" t="s">
        <v>60</v>
      </c>
      <c r="T198" t="s">
        <v>61</v>
      </c>
      <c r="U198" t="s">
        <v>62</v>
      </c>
      <c r="V198">
        <v>1</v>
      </c>
      <c r="W198">
        <v>0</v>
      </c>
      <c r="X198">
        <v>1</v>
      </c>
      <c r="Y198">
        <v>1</v>
      </c>
      <c r="Z198">
        <v>0</v>
      </c>
      <c r="AA198">
        <v>0</v>
      </c>
      <c r="AB198">
        <v>1</v>
      </c>
      <c r="AC198">
        <v>0</v>
      </c>
      <c r="AD198">
        <v>1</v>
      </c>
      <c r="AE198" s="5">
        <v>11.7505787037037</v>
      </c>
      <c r="AF198" s="5">
        <v>3.53256944444444</v>
      </c>
      <c r="AG198" s="5">
        <v>0.712441776552488</v>
      </c>
      <c r="AH198" s="5">
        <v>14.3846153846154</v>
      </c>
      <c r="AI198" s="5">
        <v>0.460094687009651</v>
      </c>
      <c r="AJ198" s="5">
        <v>-0.476625664235965</v>
      </c>
      <c r="AK198" s="5">
        <v>0.476625664235965</v>
      </c>
      <c r="AL198" s="5">
        <v>0.460094687009651</v>
      </c>
      <c r="AM198" s="5">
        <v>10.1473915373546</v>
      </c>
      <c r="AN198" s="5">
        <v>-0.347050241178715</v>
      </c>
      <c r="AO198" s="5">
        <v>-1.02</v>
      </c>
      <c r="AP198" s="5">
        <v>260.658615872357</v>
      </c>
      <c r="AQ198" s="5">
        <v>1.67669845728037</v>
      </c>
      <c r="AR198" s="5">
        <v>0</v>
      </c>
      <c r="AS198" s="5">
        <v>4.79453718407182</v>
      </c>
      <c r="AT198" s="5">
        <v>0</v>
      </c>
      <c r="AU198" s="5">
        <v>0</v>
      </c>
      <c r="AV198" s="5">
        <v>0</v>
      </c>
      <c r="AW198" s="5">
        <v>0</v>
      </c>
      <c r="AX198" s="5">
        <v>5.10652739484071</v>
      </c>
      <c r="AY198" s="5">
        <v>-6.60229166666667</v>
      </c>
      <c r="AZ198" s="5">
        <v>0.75</v>
      </c>
      <c r="BA198" s="5">
        <v>1</v>
      </c>
    </row>
    <row r="199" hidden="1" spans="1:53">
      <c r="A199" t="s">
        <v>53</v>
      </c>
      <c r="B199" t="s">
        <v>72</v>
      </c>
      <c r="C199" t="s">
        <v>55</v>
      </c>
      <c r="D199" s="4" t="s">
        <v>63</v>
      </c>
      <c r="E199">
        <v>0.292971</v>
      </c>
      <c r="F199">
        <v>6.7</v>
      </c>
      <c r="G199">
        <v>1</v>
      </c>
      <c r="H199">
        <v>17</v>
      </c>
      <c r="I199">
        <v>44</v>
      </c>
      <c r="J199">
        <v>36</v>
      </c>
      <c r="K199">
        <v>20</v>
      </c>
      <c r="L199" t="s">
        <v>57</v>
      </c>
      <c r="M199" t="s">
        <v>58</v>
      </c>
      <c r="N199" t="s">
        <v>86</v>
      </c>
      <c r="O199">
        <v>1.19318184672</v>
      </c>
      <c r="P199">
        <f t="shared" si="7"/>
        <v>4.07269609183161</v>
      </c>
      <c r="Q199">
        <f t="shared" si="8"/>
        <v>1.40430521056977</v>
      </c>
      <c r="R199">
        <v>150</v>
      </c>
      <c r="S199" t="s">
        <v>60</v>
      </c>
      <c r="T199" t="s">
        <v>61</v>
      </c>
      <c r="U199" t="s">
        <v>62</v>
      </c>
      <c r="V199">
        <v>1</v>
      </c>
      <c r="W199">
        <v>0</v>
      </c>
      <c r="X199">
        <v>1</v>
      </c>
      <c r="Y199">
        <v>1</v>
      </c>
      <c r="Z199">
        <v>0</v>
      </c>
      <c r="AA199">
        <v>0</v>
      </c>
      <c r="AB199">
        <v>1</v>
      </c>
      <c r="AC199">
        <v>0</v>
      </c>
      <c r="AD199">
        <v>1</v>
      </c>
      <c r="AE199" s="5">
        <v>12.2120833333333</v>
      </c>
      <c r="AF199" s="5">
        <v>7.00097222222222</v>
      </c>
      <c r="AG199" s="5">
        <v>0.642528075697275</v>
      </c>
      <c r="AH199" s="5">
        <v>16.1176470588235</v>
      </c>
      <c r="AI199" s="5">
        <v>0.459694901747447</v>
      </c>
      <c r="AJ199" s="5">
        <v>-0.280752981483328</v>
      </c>
      <c r="AK199" s="5">
        <v>0.459694901747447</v>
      </c>
      <c r="AL199" s="5">
        <v>0.280752981483328</v>
      </c>
      <c r="AM199" s="5">
        <v>10.1452721658031</v>
      </c>
      <c r="AN199" s="5">
        <v>-0.382289160206052</v>
      </c>
      <c r="AO199" s="5">
        <v>-0.72</v>
      </c>
      <c r="AP199" s="5">
        <v>1212.20967645111</v>
      </c>
      <c r="AQ199" s="5">
        <v>2.16502218725737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4.55274987369036</v>
      </c>
      <c r="AY199" s="5">
        <v>-7.13430555555556</v>
      </c>
      <c r="AZ199" s="5">
        <v>1</v>
      </c>
      <c r="BA199" s="5">
        <v>1</v>
      </c>
    </row>
    <row r="200" hidden="1" spans="1:53">
      <c r="A200" t="s">
        <v>53</v>
      </c>
      <c r="B200" t="s">
        <v>72</v>
      </c>
      <c r="C200" t="s">
        <v>55</v>
      </c>
      <c r="D200" s="4" t="s">
        <v>65</v>
      </c>
      <c r="E200">
        <v>0.0585899999999999</v>
      </c>
      <c r="F200">
        <v>6.7</v>
      </c>
      <c r="G200">
        <v>1</v>
      </c>
      <c r="H200">
        <v>17</v>
      </c>
      <c r="I200">
        <v>44</v>
      </c>
      <c r="J200">
        <v>36</v>
      </c>
      <c r="K200">
        <v>20</v>
      </c>
      <c r="L200" t="s">
        <v>57</v>
      </c>
      <c r="M200" t="s">
        <v>58</v>
      </c>
      <c r="N200" t="s">
        <v>86</v>
      </c>
      <c r="O200">
        <v>0.185763694560001</v>
      </c>
      <c r="P200">
        <f t="shared" si="7"/>
        <v>3.17056997030212</v>
      </c>
      <c r="Q200">
        <f t="shared" si="8"/>
        <v>1.153911373084</v>
      </c>
      <c r="R200">
        <v>150</v>
      </c>
      <c r="S200" t="s">
        <v>60</v>
      </c>
      <c r="T200" t="s">
        <v>61</v>
      </c>
      <c r="U200" t="s">
        <v>62</v>
      </c>
      <c r="V200">
        <v>1</v>
      </c>
      <c r="W200">
        <v>0</v>
      </c>
      <c r="X200">
        <v>1</v>
      </c>
      <c r="Y200">
        <v>1</v>
      </c>
      <c r="Z200">
        <v>0</v>
      </c>
      <c r="AA200">
        <v>0</v>
      </c>
      <c r="AB200">
        <v>1</v>
      </c>
      <c r="AC200">
        <v>0</v>
      </c>
      <c r="AD200">
        <v>1</v>
      </c>
      <c r="AE200" s="5">
        <v>12.6956944444444</v>
      </c>
      <c r="AF200" s="5">
        <v>7.51923752834467</v>
      </c>
      <c r="AG200" s="5">
        <v>0.567423483996869</v>
      </c>
      <c r="AH200" s="5">
        <v>16.6086956521739</v>
      </c>
      <c r="AI200" s="5">
        <v>0.459647303367286</v>
      </c>
      <c r="AJ200" s="5">
        <v>-0.280752999575136</v>
      </c>
      <c r="AK200" s="5">
        <v>0.459647303367286</v>
      </c>
      <c r="AL200" s="5">
        <v>0.280752999575136</v>
      </c>
      <c r="AM200" s="5">
        <v>9.97962409166519</v>
      </c>
      <c r="AN200" s="5">
        <v>-0.433260944725331</v>
      </c>
      <c r="AO200" s="5">
        <v>-1</v>
      </c>
      <c r="AP200" s="5">
        <v>14934.5346948423</v>
      </c>
      <c r="AQ200" s="5">
        <v>2.69882520469918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4.55274987369036</v>
      </c>
      <c r="AY200" s="5">
        <v>-7.5938637329932</v>
      </c>
      <c r="AZ200" s="5">
        <v>1</v>
      </c>
      <c r="BA200" s="5">
        <v>1</v>
      </c>
    </row>
    <row r="201" hidden="1" spans="1:53">
      <c r="A201" t="s">
        <v>53</v>
      </c>
      <c r="B201" t="s">
        <v>72</v>
      </c>
      <c r="C201" t="s">
        <v>55</v>
      </c>
      <c r="D201" s="4" t="s">
        <v>66</v>
      </c>
      <c r="E201">
        <v>0.31641</v>
      </c>
      <c r="F201">
        <v>6.7</v>
      </c>
      <c r="G201">
        <v>1</v>
      </c>
      <c r="H201">
        <v>17</v>
      </c>
      <c r="I201">
        <v>44</v>
      </c>
      <c r="J201">
        <v>36</v>
      </c>
      <c r="K201">
        <v>20</v>
      </c>
      <c r="L201" t="s">
        <v>57</v>
      </c>
      <c r="M201" t="s">
        <v>58</v>
      </c>
      <c r="N201" t="s">
        <v>86</v>
      </c>
      <c r="O201">
        <v>0.743653317599998</v>
      </c>
      <c r="P201">
        <f t="shared" si="7"/>
        <v>2.35028386460604</v>
      </c>
      <c r="Q201">
        <f t="shared" si="8"/>
        <v>0.854536114310506</v>
      </c>
      <c r="R201">
        <v>150</v>
      </c>
      <c r="S201" t="s">
        <v>60</v>
      </c>
      <c r="T201" t="s">
        <v>61</v>
      </c>
      <c r="U201" t="s">
        <v>62</v>
      </c>
      <c r="V201">
        <v>1</v>
      </c>
      <c r="W201">
        <v>0</v>
      </c>
      <c r="X201">
        <v>1</v>
      </c>
      <c r="Y201">
        <v>1</v>
      </c>
      <c r="Z201">
        <v>0</v>
      </c>
      <c r="AA201">
        <v>0</v>
      </c>
      <c r="AB201">
        <v>1</v>
      </c>
      <c r="AC201">
        <v>0</v>
      </c>
      <c r="AD201">
        <v>1</v>
      </c>
      <c r="AE201" s="5">
        <v>12.8254166666667</v>
      </c>
      <c r="AF201" s="5">
        <v>4.27882137345679</v>
      </c>
      <c r="AG201" s="5">
        <v>0.653062667189842</v>
      </c>
      <c r="AH201" s="5">
        <v>16.12</v>
      </c>
      <c r="AI201" s="5">
        <v>0.459647294455008</v>
      </c>
      <c r="AJ201" s="5">
        <v>-0.47662745733429</v>
      </c>
      <c r="AK201" s="5">
        <v>0.47662745733429</v>
      </c>
      <c r="AL201" s="5">
        <v>0.459647294455008</v>
      </c>
      <c r="AM201" s="5">
        <v>9.90907137329749</v>
      </c>
      <c r="AN201" s="5">
        <v>-0.449718247791216</v>
      </c>
      <c r="AO201" s="5">
        <v>-1.58</v>
      </c>
      <c r="AP201" s="5">
        <v>39741.8973369129</v>
      </c>
      <c r="AQ201" s="5">
        <v>2.73920148528388</v>
      </c>
      <c r="AR201" s="5">
        <v>0</v>
      </c>
      <c r="AS201" s="5">
        <v>4.79453718407182</v>
      </c>
      <c r="AT201" s="5">
        <v>0</v>
      </c>
      <c r="AU201" s="5">
        <v>0</v>
      </c>
      <c r="AV201" s="5">
        <v>0</v>
      </c>
      <c r="AW201" s="5">
        <v>0</v>
      </c>
      <c r="AX201" s="5">
        <v>5.10652739484071</v>
      </c>
      <c r="AY201" s="5">
        <v>-7.69383775037793</v>
      </c>
      <c r="AZ201" s="5">
        <v>0.875</v>
      </c>
      <c r="BA201" s="5">
        <v>1</v>
      </c>
    </row>
    <row r="202" hidden="1" spans="1:53">
      <c r="A202" t="s">
        <v>53</v>
      </c>
      <c r="B202" t="s">
        <v>72</v>
      </c>
      <c r="C202" t="s">
        <v>55</v>
      </c>
      <c r="D202" s="4" t="s">
        <v>67</v>
      </c>
      <c r="E202">
        <v>0.11718</v>
      </c>
      <c r="F202">
        <v>6.7</v>
      </c>
      <c r="G202">
        <v>1</v>
      </c>
      <c r="H202">
        <v>17</v>
      </c>
      <c r="I202">
        <v>44</v>
      </c>
      <c r="J202">
        <v>36</v>
      </c>
      <c r="K202">
        <v>20</v>
      </c>
      <c r="L202" t="s">
        <v>57</v>
      </c>
      <c r="M202" t="s">
        <v>58</v>
      </c>
      <c r="N202" t="s">
        <v>86</v>
      </c>
      <c r="O202">
        <v>0.88331674656</v>
      </c>
      <c r="P202">
        <f t="shared" si="7"/>
        <v>7.53811867690732</v>
      </c>
      <c r="Q202">
        <f t="shared" si="8"/>
        <v>2.01997263853997</v>
      </c>
      <c r="R202">
        <v>150</v>
      </c>
      <c r="S202" t="s">
        <v>60</v>
      </c>
      <c r="T202" t="s">
        <v>61</v>
      </c>
      <c r="U202" t="s">
        <v>62</v>
      </c>
      <c r="V202">
        <v>1</v>
      </c>
      <c r="W202">
        <v>0</v>
      </c>
      <c r="X202">
        <v>1</v>
      </c>
      <c r="Y202">
        <v>1</v>
      </c>
      <c r="Z202">
        <v>0</v>
      </c>
      <c r="AA202">
        <v>0</v>
      </c>
      <c r="AB202">
        <v>1</v>
      </c>
      <c r="AC202">
        <v>0</v>
      </c>
      <c r="AD202">
        <v>1</v>
      </c>
      <c r="AE202" s="5">
        <v>13.0371419123205</v>
      </c>
      <c r="AF202" s="5">
        <v>7.66829457707096</v>
      </c>
      <c r="AG202" s="5">
        <v>0.402493807679921</v>
      </c>
      <c r="AH202" s="5">
        <v>16.8965517241379</v>
      </c>
      <c r="AI202" s="5">
        <v>0.459647294440031</v>
      </c>
      <c r="AJ202" s="5">
        <v>-0.280752999575314</v>
      </c>
      <c r="AK202" s="5">
        <v>0.459647294440031</v>
      </c>
      <c r="AL202" s="5">
        <v>0.280752999575314</v>
      </c>
      <c r="AM202" s="5">
        <v>9.90856544965598</v>
      </c>
      <c r="AN202" s="5">
        <v>-0.457885273814649</v>
      </c>
      <c r="AO202" s="5">
        <v>-1.28</v>
      </c>
      <c r="AP202" s="5">
        <v>176558.643253875</v>
      </c>
      <c r="AQ202" s="5">
        <v>3.26474212239717</v>
      </c>
      <c r="AR202" s="5">
        <v>0</v>
      </c>
      <c r="AS202" s="5">
        <v>0</v>
      </c>
      <c r="AT202" s="5">
        <v>0</v>
      </c>
      <c r="AU202" s="5">
        <v>0</v>
      </c>
      <c r="AV202" s="5">
        <v>0</v>
      </c>
      <c r="AW202" s="5">
        <v>0</v>
      </c>
      <c r="AX202" s="5">
        <v>4.55274987369036</v>
      </c>
      <c r="AY202" s="5">
        <v>-7.88274914441085</v>
      </c>
      <c r="AZ202" s="5">
        <v>1</v>
      </c>
      <c r="BA202" s="5">
        <v>1</v>
      </c>
    </row>
    <row r="203" hidden="1" spans="1:53">
      <c r="A203" t="s">
        <v>53</v>
      </c>
      <c r="B203" t="s">
        <v>72</v>
      </c>
      <c r="C203" t="s">
        <v>55</v>
      </c>
      <c r="D203" s="4" t="s">
        <v>68</v>
      </c>
      <c r="E203">
        <v>0.0351599999999999</v>
      </c>
      <c r="F203">
        <v>6.7</v>
      </c>
      <c r="G203">
        <v>1</v>
      </c>
      <c r="H203">
        <v>17</v>
      </c>
      <c r="I203">
        <v>44</v>
      </c>
      <c r="J203">
        <v>36</v>
      </c>
      <c r="K203">
        <v>20</v>
      </c>
      <c r="L203" t="s">
        <v>57</v>
      </c>
      <c r="M203" t="s">
        <v>58</v>
      </c>
      <c r="N203" t="s">
        <v>86</v>
      </c>
      <c r="O203">
        <v>0.914364384000001</v>
      </c>
      <c r="P203">
        <f t="shared" si="7"/>
        <v>26.0058129692834</v>
      </c>
      <c r="Q203">
        <f t="shared" si="8"/>
        <v>3.25832008877382</v>
      </c>
      <c r="R203">
        <v>150</v>
      </c>
      <c r="S203" t="s">
        <v>60</v>
      </c>
      <c r="T203" t="s">
        <v>61</v>
      </c>
      <c r="U203" t="s">
        <v>62</v>
      </c>
      <c r="V203">
        <v>1</v>
      </c>
      <c r="W203">
        <v>0</v>
      </c>
      <c r="X203">
        <v>1</v>
      </c>
      <c r="Y203">
        <v>1</v>
      </c>
      <c r="Z203">
        <v>0</v>
      </c>
      <c r="AA203">
        <v>0</v>
      </c>
      <c r="AB203">
        <v>1</v>
      </c>
      <c r="AC203">
        <v>0</v>
      </c>
      <c r="AD203">
        <v>1</v>
      </c>
      <c r="AE203" s="5">
        <v>12.1252083333333</v>
      </c>
      <c r="AF203" s="5">
        <v>3.79034722222222</v>
      </c>
      <c r="AG203" s="5">
        <v>0.795108310685598</v>
      </c>
      <c r="AH203" s="5">
        <v>15.0625</v>
      </c>
      <c r="AI203" s="5">
        <v>0.459665733935349</v>
      </c>
      <c r="AJ203" s="5">
        <v>-0.476627440416371</v>
      </c>
      <c r="AK203" s="5">
        <v>0.476627440416371</v>
      </c>
      <c r="AL203" s="5">
        <v>0.459665733935349</v>
      </c>
      <c r="AM203" s="5">
        <v>10.044436145131</v>
      </c>
      <c r="AN203" s="5">
        <v>-0.389909625311938</v>
      </c>
      <c r="AO203" s="5">
        <v>-1.16</v>
      </c>
      <c r="AP203" s="5">
        <v>939.726830541714</v>
      </c>
      <c r="AQ203" s="5">
        <v>1.77550667912426</v>
      </c>
      <c r="AR203" s="5">
        <v>0</v>
      </c>
      <c r="AS203" s="5">
        <v>4.79453718407182</v>
      </c>
      <c r="AT203" s="5">
        <v>0</v>
      </c>
      <c r="AU203" s="5">
        <v>0</v>
      </c>
      <c r="AV203" s="5">
        <v>0</v>
      </c>
      <c r="AW203" s="5">
        <v>0</v>
      </c>
      <c r="AX203" s="5">
        <v>5.10652739484071</v>
      </c>
      <c r="AY203" s="5">
        <v>-7.00458333333333</v>
      </c>
      <c r="AZ203" s="5">
        <v>0.8</v>
      </c>
      <c r="BA203" s="5">
        <v>1</v>
      </c>
    </row>
    <row r="204" hidden="1" spans="1:53">
      <c r="A204" t="s">
        <v>53</v>
      </c>
      <c r="B204" t="s">
        <v>73</v>
      </c>
      <c r="C204" t="s">
        <v>55</v>
      </c>
      <c r="D204" s="4" t="s">
        <v>56</v>
      </c>
      <c r="E204">
        <v>0.351563</v>
      </c>
      <c r="F204">
        <v>6.7</v>
      </c>
      <c r="G204">
        <v>1</v>
      </c>
      <c r="H204">
        <v>17</v>
      </c>
      <c r="I204">
        <v>44</v>
      </c>
      <c r="J204">
        <v>36</v>
      </c>
      <c r="K204">
        <v>20</v>
      </c>
      <c r="L204" t="s">
        <v>57</v>
      </c>
      <c r="M204" t="s">
        <v>58</v>
      </c>
      <c r="N204" t="s">
        <v>86</v>
      </c>
      <c r="O204">
        <v>2.4889360932</v>
      </c>
      <c r="P204">
        <f t="shared" si="7"/>
        <v>7.07963037407236</v>
      </c>
      <c r="Q204">
        <f t="shared" si="8"/>
        <v>1.95722169929087</v>
      </c>
      <c r="R204">
        <v>150</v>
      </c>
      <c r="S204" t="s">
        <v>60</v>
      </c>
      <c r="T204" t="s">
        <v>61</v>
      </c>
      <c r="U204" t="s">
        <v>62</v>
      </c>
      <c r="V204">
        <v>1</v>
      </c>
      <c r="W204">
        <v>0</v>
      </c>
      <c r="X204">
        <v>1</v>
      </c>
      <c r="Y204">
        <v>1</v>
      </c>
      <c r="Z204">
        <v>0</v>
      </c>
      <c r="AA204">
        <v>0</v>
      </c>
      <c r="AB204">
        <v>1</v>
      </c>
      <c r="AC204">
        <v>0</v>
      </c>
      <c r="AD204">
        <v>1</v>
      </c>
      <c r="AE204" s="5">
        <v>11.7505787037037</v>
      </c>
      <c r="AF204" s="5">
        <v>3.53256944444444</v>
      </c>
      <c r="AG204" s="5">
        <v>0.712441776552488</v>
      </c>
      <c r="AH204" s="5">
        <v>14.3846153846154</v>
      </c>
      <c r="AI204" s="5">
        <v>0.460094687009651</v>
      </c>
      <c r="AJ204" s="5">
        <v>-0.476625664235965</v>
      </c>
      <c r="AK204" s="5">
        <v>0.476625664235965</v>
      </c>
      <c r="AL204" s="5">
        <v>0.460094687009651</v>
      </c>
      <c r="AM204" s="5">
        <v>10.1473915373546</v>
      </c>
      <c r="AN204" s="5">
        <v>-0.347050241178715</v>
      </c>
      <c r="AO204" s="5">
        <v>-1.02</v>
      </c>
      <c r="AP204" s="5">
        <v>260.658615872357</v>
      </c>
      <c r="AQ204" s="5">
        <v>1.67669845728037</v>
      </c>
      <c r="AR204" s="5">
        <v>0</v>
      </c>
      <c r="AS204" s="5">
        <v>4.79453718407182</v>
      </c>
      <c r="AT204" s="5">
        <v>0</v>
      </c>
      <c r="AU204" s="5">
        <v>0</v>
      </c>
      <c r="AV204" s="5">
        <v>0</v>
      </c>
      <c r="AW204" s="5">
        <v>0</v>
      </c>
      <c r="AX204" s="5">
        <v>5.10652739484071</v>
      </c>
      <c r="AY204" s="5">
        <v>-6.60229166666667</v>
      </c>
      <c r="AZ204" s="5">
        <v>0.75</v>
      </c>
      <c r="BA204" s="5">
        <v>1</v>
      </c>
    </row>
    <row r="205" hidden="1" spans="1:53">
      <c r="A205" t="s">
        <v>53</v>
      </c>
      <c r="B205" t="s">
        <v>73</v>
      </c>
      <c r="C205" t="s">
        <v>55</v>
      </c>
      <c r="D205" s="4" t="s">
        <v>63</v>
      </c>
      <c r="E205">
        <v>0.117187</v>
      </c>
      <c r="F205">
        <v>6.7</v>
      </c>
      <c r="G205">
        <v>1</v>
      </c>
      <c r="H205">
        <v>17</v>
      </c>
      <c r="I205">
        <v>44</v>
      </c>
      <c r="J205">
        <v>36</v>
      </c>
      <c r="K205">
        <v>20</v>
      </c>
      <c r="L205" t="s">
        <v>57</v>
      </c>
      <c r="M205" t="s">
        <v>58</v>
      </c>
      <c r="N205" t="s">
        <v>86</v>
      </c>
      <c r="O205">
        <v>0.0533498507999999</v>
      </c>
      <c r="P205">
        <f t="shared" si="7"/>
        <v>0.455254002577077</v>
      </c>
      <c r="Q205">
        <f t="shared" si="8"/>
        <v>-0.786899768371166</v>
      </c>
      <c r="R205">
        <v>150</v>
      </c>
      <c r="S205" t="s">
        <v>60</v>
      </c>
      <c r="T205" t="s">
        <v>61</v>
      </c>
      <c r="U205" t="s">
        <v>62</v>
      </c>
      <c r="V205">
        <v>1</v>
      </c>
      <c r="W205">
        <v>0</v>
      </c>
      <c r="X205">
        <v>1</v>
      </c>
      <c r="Y205">
        <v>1</v>
      </c>
      <c r="Z205">
        <v>0</v>
      </c>
      <c r="AA205">
        <v>0</v>
      </c>
      <c r="AB205">
        <v>1</v>
      </c>
      <c r="AC205">
        <v>0</v>
      </c>
      <c r="AD205">
        <v>1</v>
      </c>
      <c r="AE205" s="5">
        <v>12.2120833333333</v>
      </c>
      <c r="AF205" s="5">
        <v>7.00097222222222</v>
      </c>
      <c r="AG205" s="5">
        <v>0.642528075697275</v>
      </c>
      <c r="AH205" s="5">
        <v>16.1176470588235</v>
      </c>
      <c r="AI205" s="5">
        <v>0.459694901747447</v>
      </c>
      <c r="AJ205" s="5">
        <v>-0.280752981483328</v>
      </c>
      <c r="AK205" s="5">
        <v>0.459694901747447</v>
      </c>
      <c r="AL205" s="5">
        <v>0.280752981483328</v>
      </c>
      <c r="AM205" s="5">
        <v>10.1452721658031</v>
      </c>
      <c r="AN205" s="5">
        <v>-0.382289160206052</v>
      </c>
      <c r="AO205" s="5">
        <v>-0.72</v>
      </c>
      <c r="AP205" s="5">
        <v>1212.20967645111</v>
      </c>
      <c r="AQ205" s="5">
        <v>2.16502218725737</v>
      </c>
      <c r="AR205" s="5">
        <v>0</v>
      </c>
      <c r="AS205" s="5">
        <v>0</v>
      </c>
      <c r="AT205" s="5">
        <v>0</v>
      </c>
      <c r="AU205" s="5">
        <v>0</v>
      </c>
      <c r="AV205" s="5">
        <v>0</v>
      </c>
      <c r="AW205" s="5">
        <v>0</v>
      </c>
      <c r="AX205" s="5">
        <v>4.55274987369036</v>
      </c>
      <c r="AY205" s="5">
        <v>-7.13430555555556</v>
      </c>
      <c r="AZ205" s="5">
        <v>1</v>
      </c>
      <c r="BA205" s="5">
        <v>1</v>
      </c>
    </row>
    <row r="206" hidden="1" spans="1:53">
      <c r="A206" t="s">
        <v>53</v>
      </c>
      <c r="B206" t="s">
        <v>73</v>
      </c>
      <c r="C206" t="s">
        <v>55</v>
      </c>
      <c r="D206" s="4" t="s">
        <v>65</v>
      </c>
      <c r="E206">
        <v>0.058594</v>
      </c>
      <c r="F206">
        <v>6.7</v>
      </c>
      <c r="G206">
        <v>1</v>
      </c>
      <c r="H206">
        <v>17</v>
      </c>
      <c r="I206">
        <v>44</v>
      </c>
      <c r="J206">
        <v>36</v>
      </c>
      <c r="K206">
        <v>20</v>
      </c>
      <c r="L206" t="s">
        <v>57</v>
      </c>
      <c r="M206" t="s">
        <v>58</v>
      </c>
      <c r="N206" t="s">
        <v>86</v>
      </c>
      <c r="O206">
        <v>0.1466134155</v>
      </c>
      <c r="P206">
        <f t="shared" si="7"/>
        <v>2.50219161518244</v>
      </c>
      <c r="Q206">
        <f t="shared" si="8"/>
        <v>0.917166993917386</v>
      </c>
      <c r="R206">
        <v>150</v>
      </c>
      <c r="S206" t="s">
        <v>60</v>
      </c>
      <c r="T206" t="s">
        <v>61</v>
      </c>
      <c r="U206" t="s">
        <v>62</v>
      </c>
      <c r="V206">
        <v>1</v>
      </c>
      <c r="W206">
        <v>0</v>
      </c>
      <c r="X206">
        <v>1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1</v>
      </c>
      <c r="AE206" s="5">
        <v>12.6956944444444</v>
      </c>
      <c r="AF206" s="5">
        <v>7.51923752834467</v>
      </c>
      <c r="AG206" s="5">
        <v>0.567423483996869</v>
      </c>
      <c r="AH206" s="5">
        <v>16.6086956521739</v>
      </c>
      <c r="AI206" s="5">
        <v>0.459647303367286</v>
      </c>
      <c r="AJ206" s="5">
        <v>-0.280752999575136</v>
      </c>
      <c r="AK206" s="5">
        <v>0.459647303367286</v>
      </c>
      <c r="AL206" s="5">
        <v>0.280752999575136</v>
      </c>
      <c r="AM206" s="5">
        <v>9.97962409166519</v>
      </c>
      <c r="AN206" s="5">
        <v>-0.433260944725331</v>
      </c>
      <c r="AO206" s="5">
        <v>-1</v>
      </c>
      <c r="AP206" s="5">
        <v>14934.5346948423</v>
      </c>
      <c r="AQ206" s="5">
        <v>2.69882520469918</v>
      </c>
      <c r="AR206" s="5">
        <v>0</v>
      </c>
      <c r="AS206" s="5">
        <v>0</v>
      </c>
      <c r="AT206" s="5">
        <v>0</v>
      </c>
      <c r="AU206" s="5">
        <v>0</v>
      </c>
      <c r="AV206" s="5">
        <v>0</v>
      </c>
      <c r="AW206" s="5">
        <v>0</v>
      </c>
      <c r="AX206" s="5">
        <v>4.55274987369036</v>
      </c>
      <c r="AY206" s="5">
        <v>-7.5938637329932</v>
      </c>
      <c r="AZ206" s="5">
        <v>1</v>
      </c>
      <c r="BA206" s="5">
        <v>1</v>
      </c>
    </row>
    <row r="207" hidden="1" spans="1:53">
      <c r="A207" t="s">
        <v>53</v>
      </c>
      <c r="B207" t="s">
        <v>73</v>
      </c>
      <c r="C207" t="s">
        <v>55</v>
      </c>
      <c r="D207" s="4" t="s">
        <v>66</v>
      </c>
      <c r="E207">
        <v>0.64453</v>
      </c>
      <c r="F207">
        <v>6.7</v>
      </c>
      <c r="G207">
        <v>1</v>
      </c>
      <c r="H207">
        <v>17</v>
      </c>
      <c r="I207">
        <v>44</v>
      </c>
      <c r="J207">
        <v>36</v>
      </c>
      <c r="K207">
        <v>20</v>
      </c>
      <c r="L207" t="s">
        <v>57</v>
      </c>
      <c r="M207" t="s">
        <v>58</v>
      </c>
      <c r="N207" t="s">
        <v>86</v>
      </c>
      <c r="O207">
        <v>0.6535630818</v>
      </c>
      <c r="P207">
        <f t="shared" si="7"/>
        <v>1.01401499045816</v>
      </c>
      <c r="Q207">
        <f t="shared" si="8"/>
        <v>0.0139176885490296</v>
      </c>
      <c r="R207">
        <v>150</v>
      </c>
      <c r="S207" t="s">
        <v>60</v>
      </c>
      <c r="T207" t="s">
        <v>61</v>
      </c>
      <c r="U207" t="s">
        <v>62</v>
      </c>
      <c r="V207">
        <v>1</v>
      </c>
      <c r="W207">
        <v>0</v>
      </c>
      <c r="X207">
        <v>1</v>
      </c>
      <c r="Y207">
        <v>1</v>
      </c>
      <c r="Z207">
        <v>0</v>
      </c>
      <c r="AA207">
        <v>0</v>
      </c>
      <c r="AB207">
        <v>1</v>
      </c>
      <c r="AC207">
        <v>0</v>
      </c>
      <c r="AD207">
        <v>1</v>
      </c>
      <c r="AE207" s="5">
        <v>12.8254166666667</v>
      </c>
      <c r="AF207" s="5">
        <v>4.27882137345679</v>
      </c>
      <c r="AG207" s="5">
        <v>0.653062667189842</v>
      </c>
      <c r="AH207" s="5">
        <v>16.12</v>
      </c>
      <c r="AI207" s="5">
        <v>0.459647294455008</v>
      </c>
      <c r="AJ207" s="5">
        <v>-0.47662745733429</v>
      </c>
      <c r="AK207" s="5">
        <v>0.47662745733429</v>
      </c>
      <c r="AL207" s="5">
        <v>0.459647294455008</v>
      </c>
      <c r="AM207" s="5">
        <v>9.90907137329749</v>
      </c>
      <c r="AN207" s="5">
        <v>-0.449718247791216</v>
      </c>
      <c r="AO207" s="5">
        <v>-1.58</v>
      </c>
      <c r="AP207" s="5">
        <v>39741.8973369129</v>
      </c>
      <c r="AQ207" s="5">
        <v>2.73920148528388</v>
      </c>
      <c r="AR207" s="5">
        <v>0</v>
      </c>
      <c r="AS207" s="5">
        <v>4.79453718407182</v>
      </c>
      <c r="AT207" s="5">
        <v>0</v>
      </c>
      <c r="AU207" s="5">
        <v>0</v>
      </c>
      <c r="AV207" s="5">
        <v>0</v>
      </c>
      <c r="AW207" s="5">
        <v>0</v>
      </c>
      <c r="AX207" s="5">
        <v>5.10652739484071</v>
      </c>
      <c r="AY207" s="5">
        <v>-7.69383775037793</v>
      </c>
      <c r="AZ207" s="5">
        <v>0.875</v>
      </c>
      <c r="BA207" s="5">
        <v>1</v>
      </c>
    </row>
    <row r="208" hidden="1" spans="1:53">
      <c r="A208" t="s">
        <v>53</v>
      </c>
      <c r="B208" t="s">
        <v>73</v>
      </c>
      <c r="C208" t="s">
        <v>55</v>
      </c>
      <c r="D208" s="4" t="s">
        <v>67</v>
      </c>
      <c r="E208">
        <v>0.0234399999999999</v>
      </c>
      <c r="F208">
        <v>6.7</v>
      </c>
      <c r="G208">
        <v>1</v>
      </c>
      <c r="H208">
        <v>17</v>
      </c>
      <c r="I208">
        <v>44</v>
      </c>
      <c r="J208">
        <v>36</v>
      </c>
      <c r="K208">
        <v>20</v>
      </c>
      <c r="L208" t="s">
        <v>57</v>
      </c>
      <c r="M208" t="s">
        <v>58</v>
      </c>
      <c r="N208" t="s">
        <v>86</v>
      </c>
      <c r="O208">
        <v>0.9671661351</v>
      </c>
      <c r="P208">
        <f t="shared" si="7"/>
        <v>41.261353886519</v>
      </c>
      <c r="Q208">
        <f t="shared" si="8"/>
        <v>3.71992632064133</v>
      </c>
      <c r="R208">
        <v>150</v>
      </c>
      <c r="S208" t="s">
        <v>60</v>
      </c>
      <c r="T208" t="s">
        <v>61</v>
      </c>
      <c r="U208" t="s">
        <v>62</v>
      </c>
      <c r="V208">
        <v>1</v>
      </c>
      <c r="W208">
        <v>0</v>
      </c>
      <c r="X208">
        <v>1</v>
      </c>
      <c r="Y208">
        <v>1</v>
      </c>
      <c r="Z208">
        <v>0</v>
      </c>
      <c r="AA208">
        <v>0</v>
      </c>
      <c r="AB208">
        <v>1</v>
      </c>
      <c r="AC208">
        <v>0</v>
      </c>
      <c r="AD208">
        <v>1</v>
      </c>
      <c r="AE208" s="5">
        <v>13.0371419123205</v>
      </c>
      <c r="AF208" s="5">
        <v>7.66829457707096</v>
      </c>
      <c r="AG208" s="5">
        <v>0.402493807679921</v>
      </c>
      <c r="AH208" s="5">
        <v>16.8965517241379</v>
      </c>
      <c r="AI208" s="5">
        <v>0.459647294440031</v>
      </c>
      <c r="AJ208" s="5">
        <v>-0.280752999575314</v>
      </c>
      <c r="AK208" s="5">
        <v>0.459647294440031</v>
      </c>
      <c r="AL208" s="5">
        <v>0.280752999575314</v>
      </c>
      <c r="AM208" s="5">
        <v>9.90856544965598</v>
      </c>
      <c r="AN208" s="5">
        <v>-0.457885273814649</v>
      </c>
      <c r="AO208" s="5">
        <v>-1.28</v>
      </c>
      <c r="AP208" s="5">
        <v>176558.643253875</v>
      </c>
      <c r="AQ208" s="5">
        <v>3.26474212239717</v>
      </c>
      <c r="AR208" s="5">
        <v>0</v>
      </c>
      <c r="AS208" s="5">
        <v>0</v>
      </c>
      <c r="AT208" s="5">
        <v>0</v>
      </c>
      <c r="AU208" s="5">
        <v>0</v>
      </c>
      <c r="AV208" s="5">
        <v>0</v>
      </c>
      <c r="AW208" s="5">
        <v>0</v>
      </c>
      <c r="AX208" s="5">
        <v>4.55274987369036</v>
      </c>
      <c r="AY208" s="5">
        <v>-7.88274914441085</v>
      </c>
      <c r="AZ208" s="5">
        <v>1</v>
      </c>
      <c r="BA208" s="5">
        <v>1</v>
      </c>
    </row>
    <row r="209" hidden="1" spans="1:53">
      <c r="A209" t="s">
        <v>53</v>
      </c>
      <c r="B209" t="s">
        <v>74</v>
      </c>
      <c r="C209" t="s">
        <v>55</v>
      </c>
      <c r="D209" s="4" t="s">
        <v>56</v>
      </c>
      <c r="E209">
        <v>0.644531</v>
      </c>
      <c r="F209">
        <v>6.7</v>
      </c>
      <c r="G209">
        <v>1</v>
      </c>
      <c r="H209">
        <v>17</v>
      </c>
      <c r="I209">
        <v>44</v>
      </c>
      <c r="J209">
        <v>36</v>
      </c>
      <c r="K209">
        <v>20</v>
      </c>
      <c r="L209" t="s">
        <v>57</v>
      </c>
      <c r="M209" t="s">
        <v>58</v>
      </c>
      <c r="N209" t="s">
        <v>86</v>
      </c>
      <c r="O209">
        <v>13.27960822426</v>
      </c>
      <c r="P209">
        <f t="shared" si="7"/>
        <v>20.6035213577935</v>
      </c>
      <c r="Q209">
        <f t="shared" si="8"/>
        <v>3.02546200088572</v>
      </c>
      <c r="R209">
        <v>150</v>
      </c>
      <c r="S209" t="s">
        <v>60</v>
      </c>
      <c r="T209" t="s">
        <v>61</v>
      </c>
      <c r="U209" t="s">
        <v>62</v>
      </c>
      <c r="V209">
        <v>1</v>
      </c>
      <c r="W209">
        <v>0</v>
      </c>
      <c r="X209">
        <v>1</v>
      </c>
      <c r="Y209">
        <v>1</v>
      </c>
      <c r="Z209">
        <v>0</v>
      </c>
      <c r="AA209">
        <v>0</v>
      </c>
      <c r="AB209">
        <v>1</v>
      </c>
      <c r="AC209">
        <v>0</v>
      </c>
      <c r="AD209">
        <v>1</v>
      </c>
      <c r="AE209" s="5">
        <v>11.7505787037037</v>
      </c>
      <c r="AF209" s="5">
        <v>3.53256944444444</v>
      </c>
      <c r="AG209" s="5">
        <v>0.712441776552488</v>
      </c>
      <c r="AH209" s="5">
        <v>14.3846153846154</v>
      </c>
      <c r="AI209" s="5">
        <v>0.460094687009651</v>
      </c>
      <c r="AJ209" s="5">
        <v>-0.476625664235965</v>
      </c>
      <c r="AK209" s="5">
        <v>0.476625664235965</v>
      </c>
      <c r="AL209" s="5">
        <v>0.460094687009651</v>
      </c>
      <c r="AM209" s="5">
        <v>10.1473915373546</v>
      </c>
      <c r="AN209" s="5">
        <v>-0.347050241178715</v>
      </c>
      <c r="AO209" s="5">
        <v>-1.02</v>
      </c>
      <c r="AP209" s="5">
        <v>260.658615872357</v>
      </c>
      <c r="AQ209" s="5">
        <v>1.67669845728037</v>
      </c>
      <c r="AR209" s="5">
        <v>0</v>
      </c>
      <c r="AS209" s="5">
        <v>4.79453718407182</v>
      </c>
      <c r="AT209" s="5">
        <v>0</v>
      </c>
      <c r="AU209" s="5">
        <v>0</v>
      </c>
      <c r="AV209" s="5">
        <v>0</v>
      </c>
      <c r="AW209" s="5">
        <v>0</v>
      </c>
      <c r="AX209" s="5">
        <v>5.10652739484071</v>
      </c>
      <c r="AY209" s="5">
        <v>-6.60229166666667</v>
      </c>
      <c r="AZ209" s="5">
        <v>0.75</v>
      </c>
      <c r="BA209" s="5">
        <v>1</v>
      </c>
    </row>
    <row r="210" hidden="1" spans="1:53">
      <c r="A210" t="s">
        <v>53</v>
      </c>
      <c r="B210" t="s">
        <v>74</v>
      </c>
      <c r="C210" t="s">
        <v>55</v>
      </c>
      <c r="D210" s="4" t="s">
        <v>63</v>
      </c>
      <c r="E210">
        <v>0.175782</v>
      </c>
      <c r="F210">
        <v>6.7</v>
      </c>
      <c r="G210">
        <v>1</v>
      </c>
      <c r="H210">
        <v>17</v>
      </c>
      <c r="I210">
        <v>44</v>
      </c>
      <c r="J210">
        <v>36</v>
      </c>
      <c r="K210">
        <v>20</v>
      </c>
      <c r="L210" t="s">
        <v>57</v>
      </c>
      <c r="M210" t="s">
        <v>58</v>
      </c>
      <c r="N210" t="s">
        <v>86</v>
      </c>
      <c r="O210">
        <v>0.525787803660002</v>
      </c>
      <c r="P210">
        <f t="shared" si="7"/>
        <v>2.99113563197598</v>
      </c>
      <c r="Q210">
        <f t="shared" si="8"/>
        <v>1.09565312531844</v>
      </c>
      <c r="R210">
        <v>150</v>
      </c>
      <c r="S210" t="s">
        <v>60</v>
      </c>
      <c r="T210" t="s">
        <v>61</v>
      </c>
      <c r="U210" t="s">
        <v>62</v>
      </c>
      <c r="V210">
        <v>1</v>
      </c>
      <c r="W210">
        <v>0</v>
      </c>
      <c r="X210">
        <v>1</v>
      </c>
      <c r="Y210">
        <v>1</v>
      </c>
      <c r="Z210">
        <v>0</v>
      </c>
      <c r="AA210">
        <v>0</v>
      </c>
      <c r="AB210">
        <v>1</v>
      </c>
      <c r="AC210">
        <v>0</v>
      </c>
      <c r="AD210">
        <v>1</v>
      </c>
      <c r="AE210" s="5">
        <v>12.2120833333333</v>
      </c>
      <c r="AF210" s="5">
        <v>7.00097222222222</v>
      </c>
      <c r="AG210" s="5">
        <v>0.642528075697275</v>
      </c>
      <c r="AH210" s="5">
        <v>16.1176470588235</v>
      </c>
      <c r="AI210" s="5">
        <v>0.459694901747447</v>
      </c>
      <c r="AJ210" s="5">
        <v>-0.280752981483328</v>
      </c>
      <c r="AK210" s="5">
        <v>0.459694901747447</v>
      </c>
      <c r="AL210" s="5">
        <v>0.280752981483328</v>
      </c>
      <c r="AM210" s="5">
        <v>10.1452721658031</v>
      </c>
      <c r="AN210" s="5">
        <v>-0.382289160206052</v>
      </c>
      <c r="AO210" s="5">
        <v>-0.72</v>
      </c>
      <c r="AP210" s="5">
        <v>1212.20967645111</v>
      </c>
      <c r="AQ210" s="5">
        <v>2.16502218725737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4.55274987369036</v>
      </c>
      <c r="AY210" s="5">
        <v>-7.13430555555556</v>
      </c>
      <c r="AZ210" s="5">
        <v>1</v>
      </c>
      <c r="BA210" s="5">
        <v>1</v>
      </c>
    </row>
    <row r="211" hidden="1" spans="1:53">
      <c r="A211" t="s">
        <v>53</v>
      </c>
      <c r="B211" t="s">
        <v>74</v>
      </c>
      <c r="C211" t="s">
        <v>55</v>
      </c>
      <c r="D211" s="4" t="s">
        <v>64</v>
      </c>
      <c r="E211">
        <v>0.023437</v>
      </c>
      <c r="F211">
        <v>6.7</v>
      </c>
      <c r="G211">
        <v>1</v>
      </c>
      <c r="H211">
        <v>17</v>
      </c>
      <c r="I211">
        <v>44</v>
      </c>
      <c r="J211">
        <v>36</v>
      </c>
      <c r="K211">
        <v>20</v>
      </c>
      <c r="L211" t="s">
        <v>57</v>
      </c>
      <c r="M211" t="s">
        <v>58</v>
      </c>
      <c r="N211" t="s">
        <v>86</v>
      </c>
      <c r="O211">
        <v>0.420298319279998</v>
      </c>
      <c r="P211">
        <f t="shared" si="7"/>
        <v>17.9331108623116</v>
      </c>
      <c r="Q211">
        <f t="shared" si="8"/>
        <v>2.88664877297537</v>
      </c>
      <c r="R211">
        <v>150</v>
      </c>
      <c r="S211" t="s">
        <v>60</v>
      </c>
      <c r="T211" t="s">
        <v>61</v>
      </c>
      <c r="U211" t="s">
        <v>62</v>
      </c>
      <c r="V211">
        <v>1</v>
      </c>
      <c r="W211">
        <v>0</v>
      </c>
      <c r="X211">
        <v>1</v>
      </c>
      <c r="Y211">
        <v>1</v>
      </c>
      <c r="Z211">
        <v>0</v>
      </c>
      <c r="AA211">
        <v>0</v>
      </c>
      <c r="AB211">
        <v>1</v>
      </c>
      <c r="AC211">
        <v>0</v>
      </c>
      <c r="AD211">
        <v>1</v>
      </c>
      <c r="AE211" s="5">
        <v>12.3952083333333</v>
      </c>
      <c r="AF211" s="5">
        <v>3.99060232426304</v>
      </c>
      <c r="AG211" s="5">
        <v>0.809418673219238</v>
      </c>
      <c r="AH211" s="5">
        <v>15.5263157894737</v>
      </c>
      <c r="AI211" s="5">
        <v>0.459647654411774</v>
      </c>
      <c r="AJ211" s="5">
        <v>-0.476627457257861</v>
      </c>
      <c r="AK211" s="5">
        <v>0.476627457257861</v>
      </c>
      <c r="AL211" s="5">
        <v>0.459647654411774</v>
      </c>
      <c r="AM211" s="5">
        <v>9.98060231888395</v>
      </c>
      <c r="AN211" s="5">
        <v>-0.417658943556199</v>
      </c>
      <c r="AO211" s="5">
        <v>-1.3</v>
      </c>
      <c r="AP211" s="5">
        <v>3314.44680161703</v>
      </c>
      <c r="AQ211" s="5">
        <v>2.17852386673025</v>
      </c>
      <c r="AR211" s="5">
        <v>0</v>
      </c>
      <c r="AS211" s="5">
        <v>4.79453718407182</v>
      </c>
      <c r="AT211" s="5">
        <v>0</v>
      </c>
      <c r="AU211" s="5">
        <v>0</v>
      </c>
      <c r="AV211" s="5">
        <v>0</v>
      </c>
      <c r="AW211" s="5">
        <v>0</v>
      </c>
      <c r="AX211" s="5">
        <v>5.10652739484071</v>
      </c>
      <c r="AY211" s="5">
        <v>-7.29710978835979</v>
      </c>
      <c r="AZ211" s="5">
        <v>0.833333333333333</v>
      </c>
      <c r="BA211" s="5">
        <v>1</v>
      </c>
    </row>
    <row r="212" hidden="1" spans="1:53">
      <c r="A212" t="s">
        <v>53</v>
      </c>
      <c r="B212" t="s">
        <v>74</v>
      </c>
      <c r="C212" t="s">
        <v>55</v>
      </c>
      <c r="D212" s="4" t="s">
        <v>65</v>
      </c>
      <c r="E212">
        <v>0.11719</v>
      </c>
      <c r="F212">
        <v>6.7</v>
      </c>
      <c r="G212">
        <v>1</v>
      </c>
      <c r="H212">
        <v>17</v>
      </c>
      <c r="I212">
        <v>44</v>
      </c>
      <c r="J212">
        <v>36</v>
      </c>
      <c r="K212">
        <v>20</v>
      </c>
      <c r="L212" t="s">
        <v>57</v>
      </c>
      <c r="M212" t="s">
        <v>58</v>
      </c>
      <c r="N212" t="s">
        <v>86</v>
      </c>
      <c r="O212">
        <v>0.2525731509</v>
      </c>
      <c r="P212">
        <f t="shared" si="7"/>
        <v>2.15524490912194</v>
      </c>
      <c r="Q212">
        <f t="shared" si="8"/>
        <v>0.767904364022722</v>
      </c>
      <c r="R212">
        <v>150</v>
      </c>
      <c r="S212" t="s">
        <v>60</v>
      </c>
      <c r="T212" t="s">
        <v>61</v>
      </c>
      <c r="U212" t="s">
        <v>62</v>
      </c>
      <c r="V212">
        <v>1</v>
      </c>
      <c r="W212">
        <v>0</v>
      </c>
      <c r="X212">
        <v>1</v>
      </c>
      <c r="Y212">
        <v>1</v>
      </c>
      <c r="Z212">
        <v>0</v>
      </c>
      <c r="AA212">
        <v>0</v>
      </c>
      <c r="AB212">
        <v>1</v>
      </c>
      <c r="AC212">
        <v>0</v>
      </c>
      <c r="AD212">
        <v>1</v>
      </c>
      <c r="AE212" s="5">
        <v>12.6956944444444</v>
      </c>
      <c r="AF212" s="5">
        <v>7.51923752834467</v>
      </c>
      <c r="AG212" s="5">
        <v>0.567423483996869</v>
      </c>
      <c r="AH212" s="5">
        <v>16.6086956521739</v>
      </c>
      <c r="AI212" s="5">
        <v>0.459647303367286</v>
      </c>
      <c r="AJ212" s="5">
        <v>-0.280752999575136</v>
      </c>
      <c r="AK212" s="5">
        <v>0.459647303367286</v>
      </c>
      <c r="AL212" s="5">
        <v>0.280752999575136</v>
      </c>
      <c r="AM212" s="5">
        <v>9.97962409166519</v>
      </c>
      <c r="AN212" s="5">
        <v>-0.433260944725331</v>
      </c>
      <c r="AO212" s="5">
        <v>-1</v>
      </c>
      <c r="AP212" s="5">
        <v>14934.5346948423</v>
      </c>
      <c r="AQ212" s="5">
        <v>2.69882520469918</v>
      </c>
      <c r="AR212" s="5">
        <v>0</v>
      </c>
      <c r="AS212" s="5">
        <v>0</v>
      </c>
      <c r="AT212" s="5">
        <v>0</v>
      </c>
      <c r="AU212" s="5">
        <v>0</v>
      </c>
      <c r="AV212" s="5">
        <v>0</v>
      </c>
      <c r="AW212" s="5">
        <v>0</v>
      </c>
      <c r="AX212" s="5">
        <v>4.55274987369036</v>
      </c>
      <c r="AY212" s="5">
        <v>-7.5938637329932</v>
      </c>
      <c r="AZ212" s="5">
        <v>1</v>
      </c>
      <c r="BA212" s="5">
        <v>1</v>
      </c>
    </row>
    <row r="213" hidden="1" spans="1:53">
      <c r="A213" t="s">
        <v>53</v>
      </c>
      <c r="B213" t="s">
        <v>74</v>
      </c>
      <c r="C213" t="s">
        <v>55</v>
      </c>
      <c r="D213" s="4" t="s">
        <v>66</v>
      </c>
      <c r="E213">
        <v>0.29297</v>
      </c>
      <c r="F213">
        <v>6.7</v>
      </c>
      <c r="G213">
        <v>1</v>
      </c>
      <c r="H213">
        <v>17</v>
      </c>
      <c r="I213">
        <v>44</v>
      </c>
      <c r="J213">
        <v>36</v>
      </c>
      <c r="K213">
        <v>20</v>
      </c>
      <c r="L213" t="s">
        <v>57</v>
      </c>
      <c r="M213" t="s">
        <v>58</v>
      </c>
      <c r="N213" t="s">
        <v>86</v>
      </c>
      <c r="O213">
        <v>0.736230854030001</v>
      </c>
      <c r="P213">
        <f t="shared" si="7"/>
        <v>2.51299059299587</v>
      </c>
      <c r="Q213">
        <f t="shared" si="8"/>
        <v>0.921473515218147</v>
      </c>
      <c r="R213">
        <v>150</v>
      </c>
      <c r="S213" t="s">
        <v>60</v>
      </c>
      <c r="T213" t="s">
        <v>61</v>
      </c>
      <c r="U213" t="s">
        <v>62</v>
      </c>
      <c r="V213">
        <v>1</v>
      </c>
      <c r="W213">
        <v>0</v>
      </c>
      <c r="X213">
        <v>1</v>
      </c>
      <c r="Y213">
        <v>1</v>
      </c>
      <c r="Z213">
        <v>0</v>
      </c>
      <c r="AA213">
        <v>0</v>
      </c>
      <c r="AB213">
        <v>1</v>
      </c>
      <c r="AC213">
        <v>0</v>
      </c>
      <c r="AD213">
        <v>1</v>
      </c>
      <c r="AE213" s="5">
        <v>12.8254166666667</v>
      </c>
      <c r="AF213" s="5">
        <v>4.27882137345679</v>
      </c>
      <c r="AG213" s="5">
        <v>0.653062667189842</v>
      </c>
      <c r="AH213" s="5">
        <v>16.12</v>
      </c>
      <c r="AI213" s="5">
        <v>0.459647294455008</v>
      </c>
      <c r="AJ213" s="5">
        <v>-0.47662745733429</v>
      </c>
      <c r="AK213" s="5">
        <v>0.47662745733429</v>
      </c>
      <c r="AL213" s="5">
        <v>0.459647294455008</v>
      </c>
      <c r="AM213" s="5">
        <v>9.90907137329749</v>
      </c>
      <c r="AN213" s="5">
        <v>-0.449718247791216</v>
      </c>
      <c r="AO213" s="5">
        <v>-1.58</v>
      </c>
      <c r="AP213" s="5">
        <v>39741.8973369129</v>
      </c>
      <c r="AQ213" s="5">
        <v>2.73920148528388</v>
      </c>
      <c r="AR213" s="5">
        <v>0</v>
      </c>
      <c r="AS213" s="5">
        <v>4.79453718407182</v>
      </c>
      <c r="AT213" s="5">
        <v>0</v>
      </c>
      <c r="AU213" s="5">
        <v>0</v>
      </c>
      <c r="AV213" s="5">
        <v>0</v>
      </c>
      <c r="AW213" s="5">
        <v>0</v>
      </c>
      <c r="AX213" s="5">
        <v>5.10652739484071</v>
      </c>
      <c r="AY213" s="5">
        <v>-7.69383775037793</v>
      </c>
      <c r="AZ213" s="5">
        <v>0.875</v>
      </c>
      <c r="BA213" s="5">
        <v>1</v>
      </c>
    </row>
    <row r="214" hidden="1" spans="1:53">
      <c r="A214" t="s">
        <v>53</v>
      </c>
      <c r="B214" t="s">
        <v>74</v>
      </c>
      <c r="C214" t="s">
        <v>55</v>
      </c>
      <c r="D214" s="4" t="s">
        <v>67</v>
      </c>
      <c r="E214">
        <v>0.0586</v>
      </c>
      <c r="F214">
        <v>6.7</v>
      </c>
      <c r="G214">
        <v>1</v>
      </c>
      <c r="H214">
        <v>17</v>
      </c>
      <c r="I214">
        <v>44</v>
      </c>
      <c r="J214">
        <v>36</v>
      </c>
      <c r="K214">
        <v>20</v>
      </c>
      <c r="L214" t="s">
        <v>57</v>
      </c>
      <c r="M214" t="s">
        <v>58</v>
      </c>
      <c r="N214" t="s">
        <v>86</v>
      </c>
      <c r="O214">
        <v>1.15658103638</v>
      </c>
      <c r="P214">
        <f t="shared" si="7"/>
        <v>19.7368777539249</v>
      </c>
      <c r="Q214">
        <f t="shared" si="8"/>
        <v>2.9824888530012</v>
      </c>
      <c r="R214">
        <v>150</v>
      </c>
      <c r="S214" t="s">
        <v>60</v>
      </c>
      <c r="T214" t="s">
        <v>61</v>
      </c>
      <c r="U214" t="s">
        <v>62</v>
      </c>
      <c r="V214">
        <v>1</v>
      </c>
      <c r="W214">
        <v>0</v>
      </c>
      <c r="X214">
        <v>1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1</v>
      </c>
      <c r="AE214" s="5">
        <v>13.0371419123205</v>
      </c>
      <c r="AF214" s="5">
        <v>7.66829457707096</v>
      </c>
      <c r="AG214" s="5">
        <v>0.402493807679921</v>
      </c>
      <c r="AH214" s="5">
        <v>16.8965517241379</v>
      </c>
      <c r="AI214" s="5">
        <v>0.459647294440031</v>
      </c>
      <c r="AJ214" s="5">
        <v>-0.280752999575314</v>
      </c>
      <c r="AK214" s="5">
        <v>0.459647294440031</v>
      </c>
      <c r="AL214" s="5">
        <v>0.280752999575314</v>
      </c>
      <c r="AM214" s="5">
        <v>9.90856544965598</v>
      </c>
      <c r="AN214" s="5">
        <v>-0.457885273814649</v>
      </c>
      <c r="AO214" s="5">
        <v>-1.28</v>
      </c>
      <c r="AP214" s="5">
        <v>176558.643253875</v>
      </c>
      <c r="AQ214" s="5">
        <v>3.26474212239717</v>
      </c>
      <c r="AR214" s="5">
        <v>0</v>
      </c>
      <c r="AS214" s="5">
        <v>0</v>
      </c>
      <c r="AT214" s="5">
        <v>0</v>
      </c>
      <c r="AU214" s="5">
        <v>0</v>
      </c>
      <c r="AV214" s="5">
        <v>0</v>
      </c>
      <c r="AW214" s="5">
        <v>0</v>
      </c>
      <c r="AX214" s="5">
        <v>4.55274987369036</v>
      </c>
      <c r="AY214" s="5">
        <v>-7.88274914441085</v>
      </c>
      <c r="AZ214" s="5">
        <v>1</v>
      </c>
      <c r="BA214" s="5">
        <v>1</v>
      </c>
    </row>
    <row r="215" hidden="1" spans="1:53">
      <c r="A215" t="s">
        <v>53</v>
      </c>
      <c r="B215" t="s">
        <v>74</v>
      </c>
      <c r="C215" t="s">
        <v>55</v>
      </c>
      <c r="D215" s="4" t="s">
        <v>68</v>
      </c>
      <c r="E215">
        <v>0.0234299999999998</v>
      </c>
      <c r="F215">
        <v>6.7</v>
      </c>
      <c r="G215">
        <v>1</v>
      </c>
      <c r="H215">
        <v>17</v>
      </c>
      <c r="I215">
        <v>44</v>
      </c>
      <c r="J215">
        <v>36</v>
      </c>
      <c r="K215">
        <v>20</v>
      </c>
      <c r="L215" t="s">
        <v>57</v>
      </c>
      <c r="M215" t="s">
        <v>58</v>
      </c>
      <c r="N215" t="s">
        <v>86</v>
      </c>
      <c r="O215">
        <v>0.916610611489999</v>
      </c>
      <c r="P215">
        <f t="shared" si="7"/>
        <v>39.121238219804</v>
      </c>
      <c r="Q215">
        <f t="shared" si="8"/>
        <v>3.66666549650119</v>
      </c>
      <c r="R215">
        <v>150</v>
      </c>
      <c r="S215" t="s">
        <v>60</v>
      </c>
      <c r="T215" t="s">
        <v>61</v>
      </c>
      <c r="U215" t="s">
        <v>62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1</v>
      </c>
      <c r="AC215">
        <v>0</v>
      </c>
      <c r="AD215">
        <v>1</v>
      </c>
      <c r="AE215" s="5">
        <v>12.1252083333333</v>
      </c>
      <c r="AF215" s="5">
        <v>3.79034722222222</v>
      </c>
      <c r="AG215" s="5">
        <v>0.795108310685598</v>
      </c>
      <c r="AH215" s="5">
        <v>15.0625</v>
      </c>
      <c r="AI215" s="5">
        <v>0.459665733935349</v>
      </c>
      <c r="AJ215" s="5">
        <v>-0.476627440416371</v>
      </c>
      <c r="AK215" s="5">
        <v>0.476627440416371</v>
      </c>
      <c r="AL215" s="5">
        <v>0.459665733935349</v>
      </c>
      <c r="AM215" s="5">
        <v>10.044436145131</v>
      </c>
      <c r="AN215" s="5">
        <v>-0.389909625311938</v>
      </c>
      <c r="AO215" s="5">
        <v>-1.16</v>
      </c>
      <c r="AP215" s="5">
        <v>939.726830541714</v>
      </c>
      <c r="AQ215" s="5">
        <v>1.77550667912426</v>
      </c>
      <c r="AR215" s="5">
        <v>0</v>
      </c>
      <c r="AS215" s="5">
        <v>4.79453718407182</v>
      </c>
      <c r="AT215" s="5">
        <v>0</v>
      </c>
      <c r="AU215" s="5">
        <v>0</v>
      </c>
      <c r="AV215" s="5">
        <v>0</v>
      </c>
      <c r="AW215" s="5">
        <v>0</v>
      </c>
      <c r="AX215" s="5">
        <v>5.10652739484071</v>
      </c>
      <c r="AY215" s="5">
        <v>-7.00458333333333</v>
      </c>
      <c r="AZ215" s="5">
        <v>0.8</v>
      </c>
      <c r="BA215" s="5">
        <v>1</v>
      </c>
    </row>
    <row r="216" hidden="1" spans="1:53">
      <c r="A216" t="s">
        <v>53</v>
      </c>
      <c r="B216" t="s">
        <v>75</v>
      </c>
      <c r="C216" t="s">
        <v>55</v>
      </c>
      <c r="D216" s="4" t="s">
        <v>56</v>
      </c>
      <c r="E216">
        <v>0.796875</v>
      </c>
      <c r="F216">
        <v>6.7</v>
      </c>
      <c r="G216">
        <v>1</v>
      </c>
      <c r="H216">
        <v>17</v>
      </c>
      <c r="I216">
        <v>44</v>
      </c>
      <c r="J216">
        <v>36</v>
      </c>
      <c r="K216">
        <v>20</v>
      </c>
      <c r="L216" t="s">
        <v>57</v>
      </c>
      <c r="M216" t="s">
        <v>58</v>
      </c>
      <c r="N216" t="s">
        <v>86</v>
      </c>
      <c r="O216">
        <v>20.99349788174</v>
      </c>
      <c r="P216">
        <f t="shared" si="7"/>
        <v>26.3447816555169</v>
      </c>
      <c r="Q216">
        <f t="shared" si="8"/>
        <v>3.2712702157361</v>
      </c>
      <c r="R216">
        <v>150</v>
      </c>
      <c r="S216" t="s">
        <v>60</v>
      </c>
      <c r="T216" t="s">
        <v>61</v>
      </c>
      <c r="U216" t="s">
        <v>62</v>
      </c>
      <c r="V216">
        <v>1</v>
      </c>
      <c r="W216">
        <v>0</v>
      </c>
      <c r="X216">
        <v>1</v>
      </c>
      <c r="Y216">
        <v>1</v>
      </c>
      <c r="Z216">
        <v>0</v>
      </c>
      <c r="AA216">
        <v>0</v>
      </c>
      <c r="AB216">
        <v>1</v>
      </c>
      <c r="AC216">
        <v>0</v>
      </c>
      <c r="AD216">
        <v>1</v>
      </c>
      <c r="AE216" s="5">
        <v>11.7505787037037</v>
      </c>
      <c r="AF216" s="5">
        <v>3.53256944444444</v>
      </c>
      <c r="AG216" s="5">
        <v>0.712441776552488</v>
      </c>
      <c r="AH216" s="5">
        <v>14.3846153846154</v>
      </c>
      <c r="AI216" s="5">
        <v>0.460094687009651</v>
      </c>
      <c r="AJ216" s="5">
        <v>-0.476625664235965</v>
      </c>
      <c r="AK216" s="5">
        <v>0.476625664235965</v>
      </c>
      <c r="AL216" s="5">
        <v>0.460094687009651</v>
      </c>
      <c r="AM216" s="5">
        <v>10.1473915373546</v>
      </c>
      <c r="AN216" s="5">
        <v>-0.347050241178715</v>
      </c>
      <c r="AO216" s="5">
        <v>-1.02</v>
      </c>
      <c r="AP216" s="5">
        <v>260.658615872357</v>
      </c>
      <c r="AQ216" s="5">
        <v>1.67669845728037</v>
      </c>
      <c r="AR216" s="5">
        <v>0</v>
      </c>
      <c r="AS216" s="5">
        <v>4.79453718407182</v>
      </c>
      <c r="AT216" s="5">
        <v>0</v>
      </c>
      <c r="AU216" s="5">
        <v>0</v>
      </c>
      <c r="AV216" s="5">
        <v>0</v>
      </c>
      <c r="AW216" s="5">
        <v>0</v>
      </c>
      <c r="AX216" s="5">
        <v>5.10652739484071</v>
      </c>
      <c r="AY216" s="5">
        <v>-6.60229166666667</v>
      </c>
      <c r="AZ216" s="5">
        <v>0.75</v>
      </c>
      <c r="BA216" s="5">
        <v>1</v>
      </c>
    </row>
    <row r="217" hidden="1" spans="1:53">
      <c r="A217" t="s">
        <v>53</v>
      </c>
      <c r="B217" t="s">
        <v>75</v>
      </c>
      <c r="C217" t="s">
        <v>55</v>
      </c>
      <c r="D217" s="4" t="s">
        <v>63</v>
      </c>
      <c r="E217">
        <v>0.257815</v>
      </c>
      <c r="F217">
        <v>6.7</v>
      </c>
      <c r="G217">
        <v>1</v>
      </c>
      <c r="H217">
        <v>17</v>
      </c>
      <c r="I217">
        <v>44</v>
      </c>
      <c r="J217">
        <v>36</v>
      </c>
      <c r="K217">
        <v>20</v>
      </c>
      <c r="L217" t="s">
        <v>57</v>
      </c>
      <c r="M217" t="s">
        <v>58</v>
      </c>
      <c r="N217" t="s">
        <v>86</v>
      </c>
      <c r="O217">
        <v>0.544490194419998</v>
      </c>
      <c r="P217">
        <f t="shared" si="7"/>
        <v>2.11194148680254</v>
      </c>
      <c r="Q217">
        <f t="shared" si="8"/>
        <v>0.74760766034779</v>
      </c>
      <c r="R217">
        <v>150</v>
      </c>
      <c r="S217" t="s">
        <v>60</v>
      </c>
      <c r="T217" t="s">
        <v>61</v>
      </c>
      <c r="U217" t="s">
        <v>62</v>
      </c>
      <c r="V217">
        <v>1</v>
      </c>
      <c r="W217">
        <v>0</v>
      </c>
      <c r="X217">
        <v>1</v>
      </c>
      <c r="Y217">
        <v>1</v>
      </c>
      <c r="Z217">
        <v>0</v>
      </c>
      <c r="AA217">
        <v>0</v>
      </c>
      <c r="AB217">
        <v>1</v>
      </c>
      <c r="AC217">
        <v>0</v>
      </c>
      <c r="AD217">
        <v>1</v>
      </c>
      <c r="AE217" s="5">
        <v>12.2120833333333</v>
      </c>
      <c r="AF217" s="5">
        <v>7.00097222222222</v>
      </c>
      <c r="AG217" s="5">
        <v>0.642528075697275</v>
      </c>
      <c r="AH217" s="5">
        <v>16.1176470588235</v>
      </c>
      <c r="AI217" s="5">
        <v>0.459694901747447</v>
      </c>
      <c r="AJ217" s="5">
        <v>-0.280752981483328</v>
      </c>
      <c r="AK217" s="5">
        <v>0.459694901747447</v>
      </c>
      <c r="AL217" s="5">
        <v>0.280752981483328</v>
      </c>
      <c r="AM217" s="5">
        <v>10.1452721658031</v>
      </c>
      <c r="AN217" s="5">
        <v>-0.382289160206052</v>
      </c>
      <c r="AO217" s="5">
        <v>-0.72</v>
      </c>
      <c r="AP217" s="5">
        <v>1212.20967645111</v>
      </c>
      <c r="AQ217" s="5">
        <v>2.16502218725737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4.55274987369036</v>
      </c>
      <c r="AY217" s="5">
        <v>-7.13430555555556</v>
      </c>
      <c r="AZ217" s="5">
        <v>1</v>
      </c>
      <c r="BA217" s="5">
        <v>1</v>
      </c>
    </row>
    <row r="218" hidden="1" spans="1:53">
      <c r="A218" t="s">
        <v>53</v>
      </c>
      <c r="B218" t="s">
        <v>75</v>
      </c>
      <c r="C218" t="s">
        <v>55</v>
      </c>
      <c r="D218" s="4" t="s">
        <v>64</v>
      </c>
      <c r="E218">
        <v>0.0234400000000001</v>
      </c>
      <c r="F218">
        <v>6.7</v>
      </c>
      <c r="G218">
        <v>1</v>
      </c>
      <c r="H218">
        <v>17</v>
      </c>
      <c r="I218">
        <v>44</v>
      </c>
      <c r="J218">
        <v>36</v>
      </c>
      <c r="K218">
        <v>20</v>
      </c>
      <c r="L218" t="s">
        <v>57</v>
      </c>
      <c r="M218" t="s">
        <v>58</v>
      </c>
      <c r="N218" t="s">
        <v>86</v>
      </c>
      <c r="O218">
        <v>0.45475355313</v>
      </c>
      <c r="P218">
        <f t="shared" si="7"/>
        <v>19.4007488536689</v>
      </c>
      <c r="Q218">
        <f t="shared" si="8"/>
        <v>2.96531166602887</v>
      </c>
      <c r="R218">
        <v>150</v>
      </c>
      <c r="S218" t="s">
        <v>60</v>
      </c>
      <c r="T218" t="s">
        <v>61</v>
      </c>
      <c r="U218" t="s">
        <v>62</v>
      </c>
      <c r="V218">
        <v>1</v>
      </c>
      <c r="W218">
        <v>0</v>
      </c>
      <c r="X218">
        <v>1</v>
      </c>
      <c r="Y218">
        <v>1</v>
      </c>
      <c r="Z218">
        <v>0</v>
      </c>
      <c r="AA218">
        <v>0</v>
      </c>
      <c r="AB218">
        <v>1</v>
      </c>
      <c r="AC218">
        <v>0</v>
      </c>
      <c r="AD218">
        <v>1</v>
      </c>
      <c r="AE218" s="5">
        <v>12.3952083333333</v>
      </c>
      <c r="AF218" s="5">
        <v>3.99060232426304</v>
      </c>
      <c r="AG218" s="5">
        <v>0.809418673219238</v>
      </c>
      <c r="AH218" s="5">
        <v>15.5263157894737</v>
      </c>
      <c r="AI218" s="5">
        <v>0.459647654411774</v>
      </c>
      <c r="AJ218" s="5">
        <v>-0.476627457257861</v>
      </c>
      <c r="AK218" s="5">
        <v>0.476627457257861</v>
      </c>
      <c r="AL218" s="5">
        <v>0.459647654411774</v>
      </c>
      <c r="AM218" s="5">
        <v>9.98060231888395</v>
      </c>
      <c r="AN218" s="5">
        <v>-0.417658943556199</v>
      </c>
      <c r="AO218" s="5">
        <v>-1.3</v>
      </c>
      <c r="AP218" s="5">
        <v>3314.44680161703</v>
      </c>
      <c r="AQ218" s="5">
        <v>2.17852386673025</v>
      </c>
      <c r="AR218" s="5">
        <v>0</v>
      </c>
      <c r="AS218" s="5">
        <v>4.79453718407182</v>
      </c>
      <c r="AT218" s="5">
        <v>0</v>
      </c>
      <c r="AU218" s="5">
        <v>0</v>
      </c>
      <c r="AV218" s="5">
        <v>0</v>
      </c>
      <c r="AW218" s="5">
        <v>0</v>
      </c>
      <c r="AX218" s="5">
        <v>5.10652739484071</v>
      </c>
      <c r="AY218" s="5">
        <v>-7.29710978835979</v>
      </c>
      <c r="AZ218" s="5">
        <v>0.833333333333333</v>
      </c>
      <c r="BA218" s="5">
        <v>1</v>
      </c>
    </row>
    <row r="219" hidden="1" spans="1:53">
      <c r="A219" t="s">
        <v>53</v>
      </c>
      <c r="B219" t="s">
        <v>75</v>
      </c>
      <c r="C219" t="s">
        <v>55</v>
      </c>
      <c r="D219" s="4" t="s">
        <v>65</v>
      </c>
      <c r="E219">
        <v>0.09375</v>
      </c>
      <c r="F219">
        <v>6.7</v>
      </c>
      <c r="G219">
        <v>1</v>
      </c>
      <c r="H219">
        <v>17</v>
      </c>
      <c r="I219">
        <v>44</v>
      </c>
      <c r="J219">
        <v>36</v>
      </c>
      <c r="K219">
        <v>20</v>
      </c>
      <c r="L219" t="s">
        <v>57</v>
      </c>
      <c r="M219" t="s">
        <v>58</v>
      </c>
      <c r="N219" t="s">
        <v>86</v>
      </c>
      <c r="O219">
        <v>0.15133573301</v>
      </c>
      <c r="P219">
        <f t="shared" si="7"/>
        <v>1.61424781877333</v>
      </c>
      <c r="Q219">
        <f t="shared" si="8"/>
        <v>0.478869101291272</v>
      </c>
      <c r="R219">
        <v>150</v>
      </c>
      <c r="S219" t="s">
        <v>60</v>
      </c>
      <c r="T219" t="s">
        <v>61</v>
      </c>
      <c r="U219" t="s">
        <v>62</v>
      </c>
      <c r="V219">
        <v>1</v>
      </c>
      <c r="W219">
        <v>0</v>
      </c>
      <c r="X219">
        <v>1</v>
      </c>
      <c r="Y219">
        <v>1</v>
      </c>
      <c r="Z219">
        <v>0</v>
      </c>
      <c r="AA219">
        <v>0</v>
      </c>
      <c r="AB219">
        <v>1</v>
      </c>
      <c r="AC219">
        <v>0</v>
      </c>
      <c r="AD219">
        <v>1</v>
      </c>
      <c r="AE219" s="5">
        <v>12.6956944444444</v>
      </c>
      <c r="AF219" s="5">
        <v>7.51923752834467</v>
      </c>
      <c r="AG219" s="5">
        <v>0.567423483996869</v>
      </c>
      <c r="AH219" s="5">
        <v>16.6086956521739</v>
      </c>
      <c r="AI219" s="5">
        <v>0.459647303367286</v>
      </c>
      <c r="AJ219" s="5">
        <v>-0.280752999575136</v>
      </c>
      <c r="AK219" s="5">
        <v>0.459647303367286</v>
      </c>
      <c r="AL219" s="5">
        <v>0.280752999575136</v>
      </c>
      <c r="AM219" s="5">
        <v>9.97962409166519</v>
      </c>
      <c r="AN219" s="5">
        <v>-0.433260944725331</v>
      </c>
      <c r="AO219" s="5">
        <v>-1</v>
      </c>
      <c r="AP219" s="5">
        <v>14934.5346948423</v>
      </c>
      <c r="AQ219" s="5">
        <v>2.69882520469918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4.55274987369036</v>
      </c>
      <c r="AY219" s="5">
        <v>-7.5938637329932</v>
      </c>
      <c r="AZ219" s="5">
        <v>1</v>
      </c>
      <c r="BA219" s="5">
        <v>1</v>
      </c>
    </row>
    <row r="220" hidden="1" spans="1:53">
      <c r="A220" t="s">
        <v>53</v>
      </c>
      <c r="B220" t="s">
        <v>75</v>
      </c>
      <c r="C220" t="s">
        <v>55</v>
      </c>
      <c r="D220" s="4" t="s">
        <v>66</v>
      </c>
      <c r="E220">
        <v>0.43359</v>
      </c>
      <c r="F220">
        <v>6.7</v>
      </c>
      <c r="G220">
        <v>1</v>
      </c>
      <c r="H220">
        <v>17</v>
      </c>
      <c r="I220">
        <v>44</v>
      </c>
      <c r="J220">
        <v>36</v>
      </c>
      <c r="K220">
        <v>20</v>
      </c>
      <c r="L220" t="s">
        <v>57</v>
      </c>
      <c r="M220" t="s">
        <v>58</v>
      </c>
      <c r="N220" t="s">
        <v>86</v>
      </c>
      <c r="O220">
        <v>0.756628908109998</v>
      </c>
      <c r="P220">
        <f t="shared" si="7"/>
        <v>1.74503311448603</v>
      </c>
      <c r="Q220">
        <f t="shared" si="8"/>
        <v>0.556773532257159</v>
      </c>
      <c r="R220">
        <v>150</v>
      </c>
      <c r="S220" t="s">
        <v>60</v>
      </c>
      <c r="T220" t="s">
        <v>61</v>
      </c>
      <c r="U220" t="s">
        <v>62</v>
      </c>
      <c r="V220">
        <v>1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1</v>
      </c>
      <c r="AC220">
        <v>0</v>
      </c>
      <c r="AD220">
        <v>1</v>
      </c>
      <c r="AE220" s="5">
        <v>12.8254166666667</v>
      </c>
      <c r="AF220" s="5">
        <v>4.27882137345679</v>
      </c>
      <c r="AG220" s="5">
        <v>0.653062667189842</v>
      </c>
      <c r="AH220" s="5">
        <v>16.12</v>
      </c>
      <c r="AI220" s="5">
        <v>0.459647294455008</v>
      </c>
      <c r="AJ220" s="5">
        <v>-0.47662745733429</v>
      </c>
      <c r="AK220" s="5">
        <v>0.47662745733429</v>
      </c>
      <c r="AL220" s="5">
        <v>0.459647294455008</v>
      </c>
      <c r="AM220" s="5">
        <v>9.90907137329749</v>
      </c>
      <c r="AN220" s="5">
        <v>-0.449718247791216</v>
      </c>
      <c r="AO220" s="5">
        <v>-1.58</v>
      </c>
      <c r="AP220" s="5">
        <v>39741.8973369129</v>
      </c>
      <c r="AQ220" s="5">
        <v>2.73920148528388</v>
      </c>
      <c r="AR220" s="5">
        <v>0</v>
      </c>
      <c r="AS220" s="5">
        <v>4.79453718407182</v>
      </c>
      <c r="AT220" s="5">
        <v>0</v>
      </c>
      <c r="AU220" s="5">
        <v>0</v>
      </c>
      <c r="AV220" s="5">
        <v>0</v>
      </c>
      <c r="AW220" s="5">
        <v>0</v>
      </c>
      <c r="AX220" s="5">
        <v>5.10652739484071</v>
      </c>
      <c r="AY220" s="5">
        <v>-7.69383775037793</v>
      </c>
      <c r="AZ220" s="5">
        <v>0.875</v>
      </c>
      <c r="BA220" s="5">
        <v>1</v>
      </c>
    </row>
    <row r="221" hidden="1" spans="1:53">
      <c r="A221" t="s">
        <v>53</v>
      </c>
      <c r="B221" t="s">
        <v>75</v>
      </c>
      <c r="C221" t="s">
        <v>55</v>
      </c>
      <c r="D221" s="4" t="s">
        <v>67</v>
      </c>
      <c r="E221">
        <v>0.0234300000000001</v>
      </c>
      <c r="F221">
        <v>6.7</v>
      </c>
      <c r="G221">
        <v>1</v>
      </c>
      <c r="H221">
        <v>17</v>
      </c>
      <c r="I221">
        <v>44</v>
      </c>
      <c r="J221">
        <v>36</v>
      </c>
      <c r="K221">
        <v>20</v>
      </c>
      <c r="L221" t="s">
        <v>57</v>
      </c>
      <c r="M221" t="s">
        <v>58</v>
      </c>
      <c r="N221" t="s">
        <v>86</v>
      </c>
      <c r="O221">
        <v>1.05930037413</v>
      </c>
      <c r="P221">
        <f t="shared" si="7"/>
        <v>45.2112835736234</v>
      </c>
      <c r="Q221">
        <f t="shared" si="8"/>
        <v>3.81134669226875</v>
      </c>
      <c r="R221">
        <v>150</v>
      </c>
      <c r="S221" t="s">
        <v>60</v>
      </c>
      <c r="T221" t="s">
        <v>61</v>
      </c>
      <c r="U221" t="s">
        <v>62</v>
      </c>
      <c r="V221">
        <v>1</v>
      </c>
      <c r="W221">
        <v>0</v>
      </c>
      <c r="X221">
        <v>1</v>
      </c>
      <c r="Y221">
        <v>1</v>
      </c>
      <c r="Z221">
        <v>0</v>
      </c>
      <c r="AA221">
        <v>0</v>
      </c>
      <c r="AB221">
        <v>1</v>
      </c>
      <c r="AC221">
        <v>0</v>
      </c>
      <c r="AD221">
        <v>1</v>
      </c>
      <c r="AE221" s="5">
        <v>13.0371419123205</v>
      </c>
      <c r="AF221" s="5">
        <v>7.66829457707096</v>
      </c>
      <c r="AG221" s="5">
        <v>0.402493807679921</v>
      </c>
      <c r="AH221" s="5">
        <v>16.8965517241379</v>
      </c>
      <c r="AI221" s="5">
        <v>0.459647294440031</v>
      </c>
      <c r="AJ221" s="5">
        <v>-0.280752999575314</v>
      </c>
      <c r="AK221" s="5">
        <v>0.459647294440031</v>
      </c>
      <c r="AL221" s="5">
        <v>0.280752999575314</v>
      </c>
      <c r="AM221" s="5">
        <v>9.90856544965598</v>
      </c>
      <c r="AN221" s="5">
        <v>-0.457885273814649</v>
      </c>
      <c r="AO221" s="5">
        <v>-1.28</v>
      </c>
      <c r="AP221" s="5">
        <v>176558.643253875</v>
      </c>
      <c r="AQ221" s="5">
        <v>3.26474212239717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4.55274987369036</v>
      </c>
      <c r="AY221" s="5">
        <v>-7.88274914441085</v>
      </c>
      <c r="AZ221" s="5">
        <v>1</v>
      </c>
      <c r="BA221" s="5">
        <v>1</v>
      </c>
    </row>
    <row r="222" hidden="1" spans="1:53">
      <c r="A222" t="s">
        <v>53</v>
      </c>
      <c r="B222" t="s">
        <v>75</v>
      </c>
      <c r="C222" t="s">
        <v>55</v>
      </c>
      <c r="D222" s="4" t="s">
        <v>68</v>
      </c>
      <c r="E222">
        <v>0.02431</v>
      </c>
      <c r="F222">
        <v>6.7</v>
      </c>
      <c r="G222">
        <v>1</v>
      </c>
      <c r="H222">
        <v>17</v>
      </c>
      <c r="I222">
        <v>44</v>
      </c>
      <c r="J222">
        <v>36</v>
      </c>
      <c r="K222">
        <v>20</v>
      </c>
      <c r="L222" t="s">
        <v>57</v>
      </c>
      <c r="M222" t="s">
        <v>58</v>
      </c>
      <c r="N222" t="s">
        <v>86</v>
      </c>
      <c r="O222">
        <v>0.91846335546</v>
      </c>
      <c r="P222">
        <f t="shared" si="7"/>
        <v>37.7812980444262</v>
      </c>
      <c r="Q222">
        <f t="shared" si="8"/>
        <v>3.6318142194616</v>
      </c>
      <c r="R222">
        <v>150</v>
      </c>
      <c r="S222" t="s">
        <v>60</v>
      </c>
      <c r="T222" t="s">
        <v>61</v>
      </c>
      <c r="U222" t="s">
        <v>62</v>
      </c>
      <c r="V222">
        <v>1</v>
      </c>
      <c r="W222">
        <v>0</v>
      </c>
      <c r="X222">
        <v>1</v>
      </c>
      <c r="Y222">
        <v>1</v>
      </c>
      <c r="Z222">
        <v>0</v>
      </c>
      <c r="AA222">
        <v>0</v>
      </c>
      <c r="AB222">
        <v>1</v>
      </c>
      <c r="AC222">
        <v>0</v>
      </c>
      <c r="AD222">
        <v>1</v>
      </c>
      <c r="AE222" s="5">
        <v>12.1252083333333</v>
      </c>
      <c r="AF222" s="5">
        <v>3.79034722222222</v>
      </c>
      <c r="AG222" s="5">
        <v>0.795108310685598</v>
      </c>
      <c r="AH222" s="5">
        <v>15.0625</v>
      </c>
      <c r="AI222" s="5">
        <v>0.459665733935349</v>
      </c>
      <c r="AJ222" s="5">
        <v>-0.476627440416371</v>
      </c>
      <c r="AK222" s="5">
        <v>0.476627440416371</v>
      </c>
      <c r="AL222" s="5">
        <v>0.459665733935349</v>
      </c>
      <c r="AM222" s="5">
        <v>10.044436145131</v>
      </c>
      <c r="AN222" s="5">
        <v>-0.389909625311938</v>
      </c>
      <c r="AO222" s="5">
        <v>-1.16</v>
      </c>
      <c r="AP222" s="5">
        <v>939.726830541714</v>
      </c>
      <c r="AQ222" s="5">
        <v>1.77550667912426</v>
      </c>
      <c r="AR222" s="5">
        <v>0</v>
      </c>
      <c r="AS222" s="5">
        <v>4.79453718407182</v>
      </c>
      <c r="AT222" s="5">
        <v>0</v>
      </c>
      <c r="AU222" s="5">
        <v>0</v>
      </c>
      <c r="AV222" s="5">
        <v>0</v>
      </c>
      <c r="AW222" s="5">
        <v>0</v>
      </c>
      <c r="AX222" s="5">
        <v>5.10652739484071</v>
      </c>
      <c r="AY222" s="5">
        <v>-7.00458333333333</v>
      </c>
      <c r="AZ222" s="5">
        <v>0.8</v>
      </c>
      <c r="BA222" s="5">
        <v>1</v>
      </c>
    </row>
    <row r="223" hidden="1" spans="1:53">
      <c r="A223" t="s">
        <v>53</v>
      </c>
      <c r="B223" t="s">
        <v>76</v>
      </c>
      <c r="C223" t="s">
        <v>55</v>
      </c>
      <c r="D223" s="4" t="s">
        <v>56</v>
      </c>
      <c r="E223">
        <v>0.351563</v>
      </c>
      <c r="F223">
        <v>6.7</v>
      </c>
      <c r="G223">
        <v>1</v>
      </c>
      <c r="H223">
        <v>17</v>
      </c>
      <c r="I223">
        <v>44</v>
      </c>
      <c r="J223">
        <v>36</v>
      </c>
      <c r="K223">
        <v>20</v>
      </c>
      <c r="L223" t="s">
        <v>57</v>
      </c>
      <c r="M223" t="s">
        <v>58</v>
      </c>
      <c r="N223" t="s">
        <v>86</v>
      </c>
      <c r="O223">
        <v>5.65409357502</v>
      </c>
      <c r="P223">
        <f t="shared" si="7"/>
        <v>16.0827321846156</v>
      </c>
      <c r="Q223">
        <f t="shared" si="8"/>
        <v>2.77774616129599</v>
      </c>
      <c r="R223">
        <v>150</v>
      </c>
      <c r="S223" t="s">
        <v>60</v>
      </c>
      <c r="T223" t="s">
        <v>61</v>
      </c>
      <c r="U223" t="s">
        <v>62</v>
      </c>
      <c r="V223">
        <v>1</v>
      </c>
      <c r="W223">
        <v>0</v>
      </c>
      <c r="X223">
        <v>1</v>
      </c>
      <c r="Y223">
        <v>1</v>
      </c>
      <c r="Z223">
        <v>0</v>
      </c>
      <c r="AA223">
        <v>0</v>
      </c>
      <c r="AB223">
        <v>1</v>
      </c>
      <c r="AC223">
        <v>0</v>
      </c>
      <c r="AD223">
        <v>1</v>
      </c>
      <c r="AE223" s="5">
        <v>11.7505787037037</v>
      </c>
      <c r="AF223" s="5">
        <v>3.53256944444444</v>
      </c>
      <c r="AG223" s="5">
        <v>0.712441776552488</v>
      </c>
      <c r="AH223" s="5">
        <v>14.3846153846154</v>
      </c>
      <c r="AI223" s="5">
        <v>0.460094687009651</v>
      </c>
      <c r="AJ223" s="5">
        <v>-0.476625664235965</v>
      </c>
      <c r="AK223" s="5">
        <v>0.476625664235965</v>
      </c>
      <c r="AL223" s="5">
        <v>0.460094687009651</v>
      </c>
      <c r="AM223" s="5">
        <v>10.1473915373546</v>
      </c>
      <c r="AN223" s="5">
        <v>-0.347050241178715</v>
      </c>
      <c r="AO223" s="5">
        <v>-1.02</v>
      </c>
      <c r="AP223" s="5">
        <v>260.658615872357</v>
      </c>
      <c r="AQ223" s="5">
        <v>1.67669845728037</v>
      </c>
      <c r="AR223" s="5">
        <v>0</v>
      </c>
      <c r="AS223" s="5">
        <v>4.79453718407182</v>
      </c>
      <c r="AT223" s="5">
        <v>0</v>
      </c>
      <c r="AU223" s="5">
        <v>0</v>
      </c>
      <c r="AV223" s="5">
        <v>0</v>
      </c>
      <c r="AW223" s="5">
        <v>0</v>
      </c>
      <c r="AX223" s="5">
        <v>5.10652739484071</v>
      </c>
      <c r="AY223" s="5">
        <v>-6.60229166666667</v>
      </c>
      <c r="AZ223" s="5">
        <v>0.75</v>
      </c>
      <c r="BA223" s="5">
        <v>1</v>
      </c>
    </row>
    <row r="224" hidden="1" spans="1:53">
      <c r="A224" t="s">
        <v>53</v>
      </c>
      <c r="B224" t="s">
        <v>76</v>
      </c>
      <c r="C224" t="s">
        <v>55</v>
      </c>
      <c r="D224" s="4" t="s">
        <v>63</v>
      </c>
      <c r="E224">
        <v>0.210937</v>
      </c>
      <c r="F224">
        <v>6.7</v>
      </c>
      <c r="G224">
        <v>1</v>
      </c>
      <c r="H224">
        <v>17</v>
      </c>
      <c r="I224">
        <v>44</v>
      </c>
      <c r="J224">
        <v>36</v>
      </c>
      <c r="K224">
        <v>20</v>
      </c>
      <c r="L224" t="s">
        <v>57</v>
      </c>
      <c r="M224" t="s">
        <v>58</v>
      </c>
      <c r="N224" t="s">
        <v>86</v>
      </c>
      <c r="O224">
        <v>1.38426926319</v>
      </c>
      <c r="P224">
        <f t="shared" si="7"/>
        <v>6.56247724766162</v>
      </c>
      <c r="Q224">
        <f t="shared" si="8"/>
        <v>1.88136816088874</v>
      </c>
      <c r="R224">
        <v>150</v>
      </c>
      <c r="S224" t="s">
        <v>60</v>
      </c>
      <c r="T224" t="s">
        <v>61</v>
      </c>
      <c r="U224" t="s">
        <v>62</v>
      </c>
      <c r="V224">
        <v>1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1</v>
      </c>
      <c r="AC224">
        <v>0</v>
      </c>
      <c r="AD224">
        <v>1</v>
      </c>
      <c r="AE224" s="5">
        <v>12.2120833333333</v>
      </c>
      <c r="AF224" s="5">
        <v>7.00097222222222</v>
      </c>
      <c r="AG224" s="5">
        <v>0.642528075697275</v>
      </c>
      <c r="AH224" s="5">
        <v>16.1176470588235</v>
      </c>
      <c r="AI224" s="5">
        <v>0.459694901747447</v>
      </c>
      <c r="AJ224" s="5">
        <v>-0.280752981483328</v>
      </c>
      <c r="AK224" s="5">
        <v>0.459694901747447</v>
      </c>
      <c r="AL224" s="5">
        <v>0.280752981483328</v>
      </c>
      <c r="AM224" s="5">
        <v>10.1452721658031</v>
      </c>
      <c r="AN224" s="5">
        <v>-0.382289160206052</v>
      </c>
      <c r="AO224" s="5">
        <v>-0.72</v>
      </c>
      <c r="AP224" s="5">
        <v>1212.20967645111</v>
      </c>
      <c r="AQ224" s="5">
        <v>2.16502218725737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4.55274987369036</v>
      </c>
      <c r="AY224" s="5">
        <v>-7.13430555555556</v>
      </c>
      <c r="AZ224" s="5">
        <v>1</v>
      </c>
      <c r="BA224" s="5">
        <v>1</v>
      </c>
    </row>
    <row r="225" hidden="1" spans="1:53">
      <c r="A225" t="s">
        <v>53</v>
      </c>
      <c r="B225" t="s">
        <v>76</v>
      </c>
      <c r="C225" t="s">
        <v>55</v>
      </c>
      <c r="D225" s="4" t="s">
        <v>64</v>
      </c>
      <c r="E225">
        <v>0.0234369999999999</v>
      </c>
      <c r="F225">
        <v>6.7</v>
      </c>
      <c r="G225">
        <v>1</v>
      </c>
      <c r="H225">
        <v>17</v>
      </c>
      <c r="I225">
        <v>44</v>
      </c>
      <c r="J225">
        <v>36</v>
      </c>
      <c r="K225">
        <v>20</v>
      </c>
      <c r="L225" t="s">
        <v>57</v>
      </c>
      <c r="M225" t="s">
        <v>58</v>
      </c>
      <c r="N225" t="s">
        <v>86</v>
      </c>
      <c r="O225">
        <v>0.856806289679999</v>
      </c>
      <c r="P225">
        <f t="shared" si="7"/>
        <v>36.557848260443</v>
      </c>
      <c r="Q225">
        <f t="shared" si="8"/>
        <v>3.59889588983322</v>
      </c>
      <c r="R225">
        <v>150</v>
      </c>
      <c r="S225" t="s">
        <v>60</v>
      </c>
      <c r="T225" t="s">
        <v>61</v>
      </c>
      <c r="U225" t="s">
        <v>62</v>
      </c>
      <c r="V225">
        <v>1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1</v>
      </c>
      <c r="AE225" s="5">
        <v>12.3952083333333</v>
      </c>
      <c r="AF225" s="5">
        <v>3.99060232426304</v>
      </c>
      <c r="AG225" s="5">
        <v>0.809418673219238</v>
      </c>
      <c r="AH225" s="5">
        <v>15.5263157894737</v>
      </c>
      <c r="AI225" s="5">
        <v>0.459647654411774</v>
      </c>
      <c r="AJ225" s="5">
        <v>-0.476627457257861</v>
      </c>
      <c r="AK225" s="5">
        <v>0.476627457257861</v>
      </c>
      <c r="AL225" s="5">
        <v>0.459647654411774</v>
      </c>
      <c r="AM225" s="5">
        <v>9.98060231888395</v>
      </c>
      <c r="AN225" s="5">
        <v>-0.417658943556199</v>
      </c>
      <c r="AO225" s="5">
        <v>-1.3</v>
      </c>
      <c r="AP225" s="5">
        <v>3314.44680161703</v>
      </c>
      <c r="AQ225" s="5">
        <v>2.17852386673025</v>
      </c>
      <c r="AR225" s="5">
        <v>0</v>
      </c>
      <c r="AS225" s="5">
        <v>4.79453718407182</v>
      </c>
      <c r="AT225" s="5">
        <v>0</v>
      </c>
      <c r="AU225" s="5">
        <v>0</v>
      </c>
      <c r="AV225" s="5">
        <v>0</v>
      </c>
      <c r="AW225" s="5">
        <v>0</v>
      </c>
      <c r="AX225" s="5">
        <v>5.10652739484071</v>
      </c>
      <c r="AY225" s="5">
        <v>-7.29710978835979</v>
      </c>
      <c r="AZ225" s="5">
        <v>0.833333333333333</v>
      </c>
      <c r="BA225" s="5">
        <v>1</v>
      </c>
    </row>
    <row r="226" hidden="1" spans="1:53">
      <c r="A226" t="s">
        <v>53</v>
      </c>
      <c r="B226" t="s">
        <v>76</v>
      </c>
      <c r="C226" t="s">
        <v>55</v>
      </c>
      <c r="D226" s="4" t="s">
        <v>65</v>
      </c>
      <c r="E226">
        <v>0.058594</v>
      </c>
      <c r="F226">
        <v>6.7</v>
      </c>
      <c r="G226">
        <v>1</v>
      </c>
      <c r="H226">
        <v>17</v>
      </c>
      <c r="I226">
        <v>44</v>
      </c>
      <c r="J226">
        <v>36</v>
      </c>
      <c r="K226">
        <v>20</v>
      </c>
      <c r="L226" t="s">
        <v>57</v>
      </c>
      <c r="M226" t="s">
        <v>58</v>
      </c>
      <c r="N226" t="s">
        <v>86</v>
      </c>
      <c r="O226">
        <v>0.23742498483</v>
      </c>
      <c r="P226">
        <f t="shared" si="7"/>
        <v>4.05203578574598</v>
      </c>
      <c r="Q226">
        <f t="shared" si="8"/>
        <v>1.3992194179728</v>
      </c>
      <c r="R226">
        <v>150</v>
      </c>
      <c r="S226" t="s">
        <v>60</v>
      </c>
      <c r="T226" t="s">
        <v>61</v>
      </c>
      <c r="U226" t="s">
        <v>62</v>
      </c>
      <c r="V226">
        <v>1</v>
      </c>
      <c r="W226">
        <v>0</v>
      </c>
      <c r="X226">
        <v>1</v>
      </c>
      <c r="Y226">
        <v>1</v>
      </c>
      <c r="Z226">
        <v>0</v>
      </c>
      <c r="AA226">
        <v>0</v>
      </c>
      <c r="AB226">
        <v>1</v>
      </c>
      <c r="AC226">
        <v>0</v>
      </c>
      <c r="AD226">
        <v>1</v>
      </c>
      <c r="AE226" s="5">
        <v>12.6956944444444</v>
      </c>
      <c r="AF226" s="5">
        <v>7.51923752834467</v>
      </c>
      <c r="AG226" s="5">
        <v>0.567423483996869</v>
      </c>
      <c r="AH226" s="5">
        <v>16.6086956521739</v>
      </c>
      <c r="AI226" s="5">
        <v>0.459647303367286</v>
      </c>
      <c r="AJ226" s="5">
        <v>-0.280752999575136</v>
      </c>
      <c r="AK226" s="5">
        <v>0.459647303367286</v>
      </c>
      <c r="AL226" s="5">
        <v>0.280752999575136</v>
      </c>
      <c r="AM226" s="5">
        <v>9.97962409166519</v>
      </c>
      <c r="AN226" s="5">
        <v>-0.433260944725331</v>
      </c>
      <c r="AO226" s="5">
        <v>-1</v>
      </c>
      <c r="AP226" s="5">
        <v>14934.5346948423</v>
      </c>
      <c r="AQ226" s="5">
        <v>2.69882520469918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4.55274987369036</v>
      </c>
      <c r="AY226" s="5">
        <v>-7.5938637329932</v>
      </c>
      <c r="AZ226" s="5">
        <v>1</v>
      </c>
      <c r="BA226" s="5">
        <v>1</v>
      </c>
    </row>
    <row r="227" hidden="1" spans="1:53">
      <c r="A227" t="s">
        <v>53</v>
      </c>
      <c r="B227" t="s">
        <v>76</v>
      </c>
      <c r="C227" t="s">
        <v>55</v>
      </c>
      <c r="D227" s="4" t="s">
        <v>66</v>
      </c>
      <c r="E227">
        <v>1.031255</v>
      </c>
      <c r="F227">
        <v>6.7</v>
      </c>
      <c r="G227">
        <v>1</v>
      </c>
      <c r="H227">
        <v>17</v>
      </c>
      <c r="I227">
        <v>44</v>
      </c>
      <c r="J227">
        <v>36</v>
      </c>
      <c r="K227">
        <v>20</v>
      </c>
      <c r="L227" t="s">
        <v>57</v>
      </c>
      <c r="M227" t="s">
        <v>58</v>
      </c>
      <c r="N227" t="s">
        <v>86</v>
      </c>
      <c r="O227">
        <v>0.68533449567</v>
      </c>
      <c r="P227">
        <f t="shared" si="7"/>
        <v>0.664563561553641</v>
      </c>
      <c r="Q227">
        <f t="shared" si="8"/>
        <v>-0.408624752199941</v>
      </c>
      <c r="R227">
        <v>150</v>
      </c>
      <c r="S227" t="s">
        <v>60</v>
      </c>
      <c r="T227" t="s">
        <v>61</v>
      </c>
      <c r="U227" t="s">
        <v>62</v>
      </c>
      <c r="V227">
        <v>1</v>
      </c>
      <c r="W227">
        <v>0</v>
      </c>
      <c r="X227">
        <v>1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1</v>
      </c>
      <c r="AE227" s="5">
        <v>12.8254166666667</v>
      </c>
      <c r="AF227" s="5">
        <v>4.27882137345679</v>
      </c>
      <c r="AG227" s="5">
        <v>0.653062667189842</v>
      </c>
      <c r="AH227" s="5">
        <v>16.12</v>
      </c>
      <c r="AI227" s="5">
        <v>0.459647294455008</v>
      </c>
      <c r="AJ227" s="5">
        <v>-0.47662745733429</v>
      </c>
      <c r="AK227" s="5">
        <v>0.47662745733429</v>
      </c>
      <c r="AL227" s="5">
        <v>0.459647294455008</v>
      </c>
      <c r="AM227" s="5">
        <v>9.90907137329749</v>
      </c>
      <c r="AN227" s="5">
        <v>-0.449718247791216</v>
      </c>
      <c r="AO227" s="5">
        <v>-1.58</v>
      </c>
      <c r="AP227" s="5">
        <v>39741.8973369129</v>
      </c>
      <c r="AQ227" s="5">
        <v>2.73920148528388</v>
      </c>
      <c r="AR227" s="5">
        <v>0</v>
      </c>
      <c r="AS227" s="5">
        <v>4.79453718407182</v>
      </c>
      <c r="AT227" s="5">
        <v>0</v>
      </c>
      <c r="AU227" s="5">
        <v>0</v>
      </c>
      <c r="AV227" s="5">
        <v>0</v>
      </c>
      <c r="AW227" s="5">
        <v>0</v>
      </c>
      <c r="AX227" s="5">
        <v>5.10652739484071</v>
      </c>
      <c r="AY227" s="5">
        <v>-7.69383775037793</v>
      </c>
      <c r="AZ227" s="5">
        <v>0.875</v>
      </c>
      <c r="BA227" s="5">
        <v>1</v>
      </c>
    </row>
    <row r="228" hidden="1" spans="1:53">
      <c r="A228" t="s">
        <v>53</v>
      </c>
      <c r="B228" t="s">
        <v>76</v>
      </c>
      <c r="C228" t="s">
        <v>55</v>
      </c>
      <c r="D228" s="4" t="s">
        <v>67</v>
      </c>
      <c r="E228">
        <v>0.0585899999999999</v>
      </c>
      <c r="F228">
        <v>6.7</v>
      </c>
      <c r="G228">
        <v>1</v>
      </c>
      <c r="H228">
        <v>17</v>
      </c>
      <c r="I228">
        <v>44</v>
      </c>
      <c r="J228">
        <v>36</v>
      </c>
      <c r="K228">
        <v>20</v>
      </c>
      <c r="L228" t="s">
        <v>57</v>
      </c>
      <c r="M228" t="s">
        <v>58</v>
      </c>
      <c r="N228" t="s">
        <v>86</v>
      </c>
      <c r="O228">
        <v>1.12060821609</v>
      </c>
      <c r="P228">
        <f t="shared" si="7"/>
        <v>19.1262709692781</v>
      </c>
      <c r="Q228">
        <f t="shared" si="8"/>
        <v>2.95106283341447</v>
      </c>
      <c r="R228">
        <v>150</v>
      </c>
      <c r="S228" t="s">
        <v>60</v>
      </c>
      <c r="T228" t="s">
        <v>61</v>
      </c>
      <c r="U228" t="s">
        <v>62</v>
      </c>
      <c r="V228">
        <v>1</v>
      </c>
      <c r="W228">
        <v>0</v>
      </c>
      <c r="X228">
        <v>1</v>
      </c>
      <c r="Y228">
        <v>1</v>
      </c>
      <c r="Z228">
        <v>0</v>
      </c>
      <c r="AA228">
        <v>0</v>
      </c>
      <c r="AB228">
        <v>1</v>
      </c>
      <c r="AC228">
        <v>0</v>
      </c>
      <c r="AD228">
        <v>1</v>
      </c>
      <c r="AE228" s="5">
        <v>13.0371419123205</v>
      </c>
      <c r="AF228" s="5">
        <v>7.66829457707096</v>
      </c>
      <c r="AG228" s="5">
        <v>0.402493807679921</v>
      </c>
      <c r="AH228" s="5">
        <v>16.8965517241379</v>
      </c>
      <c r="AI228" s="5">
        <v>0.459647294440031</v>
      </c>
      <c r="AJ228" s="5">
        <v>-0.280752999575314</v>
      </c>
      <c r="AK228" s="5">
        <v>0.459647294440031</v>
      </c>
      <c r="AL228" s="5">
        <v>0.280752999575314</v>
      </c>
      <c r="AM228" s="5">
        <v>9.90856544965598</v>
      </c>
      <c r="AN228" s="5">
        <v>-0.457885273814649</v>
      </c>
      <c r="AO228" s="5">
        <v>-1.28</v>
      </c>
      <c r="AP228" s="5">
        <v>176558.643253875</v>
      </c>
      <c r="AQ228" s="5">
        <v>3.26474212239717</v>
      </c>
      <c r="AR228" s="5">
        <v>0</v>
      </c>
      <c r="AS228" s="5">
        <v>0</v>
      </c>
      <c r="AT228" s="5">
        <v>0</v>
      </c>
      <c r="AU228" s="5">
        <v>0</v>
      </c>
      <c r="AV228" s="5">
        <v>0</v>
      </c>
      <c r="AW228" s="5">
        <v>0</v>
      </c>
      <c r="AX228" s="5">
        <v>4.55274987369036</v>
      </c>
      <c r="AY228" s="5">
        <v>-7.88274914441085</v>
      </c>
      <c r="AZ228" s="5">
        <v>1</v>
      </c>
      <c r="BA228" s="5">
        <v>1</v>
      </c>
    </row>
    <row r="229" hidden="1" spans="1:53">
      <c r="A229" t="s">
        <v>53</v>
      </c>
      <c r="B229" t="s">
        <v>76</v>
      </c>
      <c r="C229" t="s">
        <v>55</v>
      </c>
      <c r="D229" s="4" t="s">
        <v>68</v>
      </c>
      <c r="E229">
        <v>0.0234400000000001</v>
      </c>
      <c r="F229">
        <v>6.7</v>
      </c>
      <c r="G229">
        <v>1</v>
      </c>
      <c r="H229">
        <v>17</v>
      </c>
      <c r="I229">
        <v>44</v>
      </c>
      <c r="J229">
        <v>36</v>
      </c>
      <c r="K229">
        <v>20</v>
      </c>
      <c r="L229" t="s">
        <v>57</v>
      </c>
      <c r="M229" t="s">
        <v>58</v>
      </c>
      <c r="N229" t="s">
        <v>86</v>
      </c>
      <c r="O229">
        <v>0.898333175519999</v>
      </c>
      <c r="P229">
        <f t="shared" ref="P229:P268" si="9">O229/E229</f>
        <v>38.3247941774742</v>
      </c>
      <c r="Q229">
        <f t="shared" si="8"/>
        <v>3.64609705429269</v>
      </c>
      <c r="R229">
        <v>150</v>
      </c>
      <c r="S229" t="s">
        <v>60</v>
      </c>
      <c r="T229" t="s">
        <v>61</v>
      </c>
      <c r="U229" t="s">
        <v>62</v>
      </c>
      <c r="V229">
        <v>1</v>
      </c>
      <c r="W229">
        <v>0</v>
      </c>
      <c r="X229">
        <v>1</v>
      </c>
      <c r="Y229">
        <v>1</v>
      </c>
      <c r="Z229">
        <v>0</v>
      </c>
      <c r="AA229">
        <v>0</v>
      </c>
      <c r="AB229">
        <v>1</v>
      </c>
      <c r="AC229">
        <v>0</v>
      </c>
      <c r="AD229">
        <v>1</v>
      </c>
      <c r="AE229" s="5">
        <v>12.1252083333333</v>
      </c>
      <c r="AF229" s="5">
        <v>3.79034722222222</v>
      </c>
      <c r="AG229" s="5">
        <v>0.795108310685598</v>
      </c>
      <c r="AH229" s="5">
        <v>15.0625</v>
      </c>
      <c r="AI229" s="5">
        <v>0.459665733935349</v>
      </c>
      <c r="AJ229" s="5">
        <v>-0.476627440416371</v>
      </c>
      <c r="AK229" s="5">
        <v>0.476627440416371</v>
      </c>
      <c r="AL229" s="5">
        <v>0.459665733935349</v>
      </c>
      <c r="AM229" s="5">
        <v>10.044436145131</v>
      </c>
      <c r="AN229" s="5">
        <v>-0.389909625311938</v>
      </c>
      <c r="AO229" s="5">
        <v>-1.16</v>
      </c>
      <c r="AP229" s="5">
        <v>939.726830541714</v>
      </c>
      <c r="AQ229" s="5">
        <v>1.77550667912426</v>
      </c>
      <c r="AR229" s="5">
        <v>0</v>
      </c>
      <c r="AS229" s="5">
        <v>4.79453718407182</v>
      </c>
      <c r="AT229" s="5">
        <v>0</v>
      </c>
      <c r="AU229" s="5">
        <v>0</v>
      </c>
      <c r="AV229" s="5">
        <v>0</v>
      </c>
      <c r="AW229" s="5">
        <v>0</v>
      </c>
      <c r="AX229" s="5">
        <v>5.10652739484071</v>
      </c>
      <c r="AY229" s="5">
        <v>-7.00458333333333</v>
      </c>
      <c r="AZ229" s="5">
        <v>0.8</v>
      </c>
      <c r="BA229" s="5">
        <v>1</v>
      </c>
    </row>
    <row r="230" hidden="1" spans="1:53">
      <c r="A230" t="s">
        <v>53</v>
      </c>
      <c r="B230" t="s">
        <v>77</v>
      </c>
      <c r="C230" t="s">
        <v>55</v>
      </c>
      <c r="D230" s="4" t="s">
        <v>56</v>
      </c>
      <c r="E230">
        <v>0.703125</v>
      </c>
      <c r="F230">
        <v>6.7</v>
      </c>
      <c r="G230">
        <v>1</v>
      </c>
      <c r="H230">
        <v>17</v>
      </c>
      <c r="I230">
        <v>44</v>
      </c>
      <c r="J230">
        <v>36</v>
      </c>
      <c r="K230">
        <v>20</v>
      </c>
      <c r="L230" t="s">
        <v>57</v>
      </c>
      <c r="M230" t="s">
        <v>58</v>
      </c>
      <c r="N230" t="s">
        <v>86</v>
      </c>
      <c r="O230">
        <v>15.3449899288</v>
      </c>
      <c r="P230">
        <f t="shared" si="9"/>
        <v>21.8239856765156</v>
      </c>
      <c r="Q230">
        <f t="shared" si="8"/>
        <v>3.08300962534282</v>
      </c>
      <c r="R230">
        <v>150</v>
      </c>
      <c r="S230" t="s">
        <v>60</v>
      </c>
      <c r="T230" t="s">
        <v>61</v>
      </c>
      <c r="U230" t="s">
        <v>62</v>
      </c>
      <c r="V230">
        <v>1</v>
      </c>
      <c r="W230">
        <v>0</v>
      </c>
      <c r="X230">
        <v>1</v>
      </c>
      <c r="Y230">
        <v>1</v>
      </c>
      <c r="Z230">
        <v>0</v>
      </c>
      <c r="AA230">
        <v>0</v>
      </c>
      <c r="AB230">
        <v>1</v>
      </c>
      <c r="AC230">
        <v>0</v>
      </c>
      <c r="AD230">
        <v>1</v>
      </c>
      <c r="AE230" s="5">
        <v>11.7505787037037</v>
      </c>
      <c r="AF230" s="5">
        <v>3.53256944444444</v>
      </c>
      <c r="AG230" s="5">
        <v>0.712441776552488</v>
      </c>
      <c r="AH230" s="5">
        <v>14.3846153846154</v>
      </c>
      <c r="AI230" s="5">
        <v>0.460094687009651</v>
      </c>
      <c r="AJ230" s="5">
        <v>-0.476625664235965</v>
      </c>
      <c r="AK230" s="5">
        <v>0.476625664235965</v>
      </c>
      <c r="AL230" s="5">
        <v>0.460094687009651</v>
      </c>
      <c r="AM230" s="5">
        <v>10.1473915373546</v>
      </c>
      <c r="AN230" s="5">
        <v>-0.347050241178715</v>
      </c>
      <c r="AO230" s="5">
        <v>-1.02</v>
      </c>
      <c r="AP230" s="5">
        <v>260.658615872357</v>
      </c>
      <c r="AQ230" s="5">
        <v>1.67669845728037</v>
      </c>
      <c r="AR230" s="5">
        <v>0</v>
      </c>
      <c r="AS230" s="5">
        <v>4.79453718407182</v>
      </c>
      <c r="AT230" s="5">
        <v>0</v>
      </c>
      <c r="AU230" s="5">
        <v>0</v>
      </c>
      <c r="AV230" s="5">
        <v>0</v>
      </c>
      <c r="AW230" s="5">
        <v>0</v>
      </c>
      <c r="AX230" s="5">
        <v>5.10652739484071</v>
      </c>
      <c r="AY230" s="5">
        <v>-6.60229166666667</v>
      </c>
      <c r="AZ230" s="5">
        <v>0.75</v>
      </c>
      <c r="BA230" s="5">
        <v>1</v>
      </c>
    </row>
    <row r="231" hidden="1" spans="1:53">
      <c r="A231" t="s">
        <v>53</v>
      </c>
      <c r="B231" t="s">
        <v>77</v>
      </c>
      <c r="C231" t="s">
        <v>55</v>
      </c>
      <c r="D231" s="4" t="s">
        <v>63</v>
      </c>
      <c r="E231">
        <v>0.234375</v>
      </c>
      <c r="F231">
        <v>6.7</v>
      </c>
      <c r="G231">
        <v>1</v>
      </c>
      <c r="H231">
        <v>17</v>
      </c>
      <c r="I231">
        <v>44</v>
      </c>
      <c r="J231">
        <v>36</v>
      </c>
      <c r="K231">
        <v>20</v>
      </c>
      <c r="L231" t="s">
        <v>57</v>
      </c>
      <c r="M231" t="s">
        <v>58</v>
      </c>
      <c r="N231" t="s">
        <v>86</v>
      </c>
      <c r="O231">
        <v>0.905822282559999</v>
      </c>
      <c r="P231">
        <f t="shared" si="9"/>
        <v>3.86484173892266</v>
      </c>
      <c r="Q231">
        <f t="shared" si="8"/>
        <v>1.35192073396239</v>
      </c>
      <c r="R231">
        <v>150</v>
      </c>
      <c r="S231" t="s">
        <v>60</v>
      </c>
      <c r="T231" t="s">
        <v>61</v>
      </c>
      <c r="U231" t="s">
        <v>62</v>
      </c>
      <c r="V231">
        <v>1</v>
      </c>
      <c r="W231">
        <v>0</v>
      </c>
      <c r="X231">
        <v>1</v>
      </c>
      <c r="Y231">
        <v>1</v>
      </c>
      <c r="Z231">
        <v>0</v>
      </c>
      <c r="AA231">
        <v>0</v>
      </c>
      <c r="AB231">
        <v>1</v>
      </c>
      <c r="AC231">
        <v>0</v>
      </c>
      <c r="AD231">
        <v>1</v>
      </c>
      <c r="AE231" s="5">
        <v>12.2120833333333</v>
      </c>
      <c r="AF231" s="5">
        <v>7.00097222222222</v>
      </c>
      <c r="AG231" s="5">
        <v>0.642528075697275</v>
      </c>
      <c r="AH231" s="5">
        <v>16.1176470588235</v>
      </c>
      <c r="AI231" s="5">
        <v>0.459694901747447</v>
      </c>
      <c r="AJ231" s="5">
        <v>-0.280752981483328</v>
      </c>
      <c r="AK231" s="5">
        <v>0.459694901747447</v>
      </c>
      <c r="AL231" s="5">
        <v>0.280752981483328</v>
      </c>
      <c r="AM231" s="5">
        <v>10.1452721658031</v>
      </c>
      <c r="AN231" s="5">
        <v>-0.382289160206052</v>
      </c>
      <c r="AO231" s="5">
        <v>-0.72</v>
      </c>
      <c r="AP231" s="5">
        <v>1212.20967645111</v>
      </c>
      <c r="AQ231" s="5">
        <v>2.16502218725737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4.55274987369036</v>
      </c>
      <c r="AY231" s="5">
        <v>-7.13430555555556</v>
      </c>
      <c r="AZ231" s="5">
        <v>1</v>
      </c>
      <c r="BA231" s="5">
        <v>1</v>
      </c>
    </row>
    <row r="232" hidden="1" spans="1:53">
      <c r="A232" t="s">
        <v>53</v>
      </c>
      <c r="B232" t="s">
        <v>77</v>
      </c>
      <c r="C232" t="s">
        <v>55</v>
      </c>
      <c r="D232" s="4" t="s">
        <v>65</v>
      </c>
      <c r="E232">
        <v>0.11719</v>
      </c>
      <c r="F232">
        <v>6.7</v>
      </c>
      <c r="G232">
        <v>1</v>
      </c>
      <c r="H232">
        <v>17</v>
      </c>
      <c r="I232">
        <v>44</v>
      </c>
      <c r="J232">
        <v>36</v>
      </c>
      <c r="K232">
        <v>20</v>
      </c>
      <c r="L232" t="s">
        <v>57</v>
      </c>
      <c r="M232" t="s">
        <v>58</v>
      </c>
      <c r="N232" t="s">
        <v>86</v>
      </c>
      <c r="O232">
        <v>0.317898724319999</v>
      </c>
      <c r="P232">
        <f t="shared" si="9"/>
        <v>2.7126779104019</v>
      </c>
      <c r="Q232">
        <f t="shared" si="8"/>
        <v>0.997936305803967</v>
      </c>
      <c r="R232">
        <v>150</v>
      </c>
      <c r="S232" t="s">
        <v>60</v>
      </c>
      <c r="T232" t="s">
        <v>61</v>
      </c>
      <c r="U232" t="s">
        <v>62</v>
      </c>
      <c r="V232">
        <v>1</v>
      </c>
      <c r="W232">
        <v>0</v>
      </c>
      <c r="X232">
        <v>1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1</v>
      </c>
      <c r="AE232" s="5">
        <v>12.6956944444444</v>
      </c>
      <c r="AF232" s="5">
        <v>7.51923752834467</v>
      </c>
      <c r="AG232" s="5">
        <v>0.567423483996869</v>
      </c>
      <c r="AH232" s="5">
        <v>16.6086956521739</v>
      </c>
      <c r="AI232" s="5">
        <v>0.459647303367286</v>
      </c>
      <c r="AJ232" s="5">
        <v>-0.280752999575136</v>
      </c>
      <c r="AK232" s="5">
        <v>0.459647303367286</v>
      </c>
      <c r="AL232" s="5">
        <v>0.280752999575136</v>
      </c>
      <c r="AM232" s="5">
        <v>9.97962409166519</v>
      </c>
      <c r="AN232" s="5">
        <v>-0.433260944725331</v>
      </c>
      <c r="AO232" s="5">
        <v>-1</v>
      </c>
      <c r="AP232" s="5">
        <v>14934.5346948423</v>
      </c>
      <c r="AQ232" s="5">
        <v>2.69882520469918</v>
      </c>
      <c r="AR232" s="5">
        <v>0</v>
      </c>
      <c r="AS232" s="5">
        <v>0</v>
      </c>
      <c r="AT232" s="5">
        <v>0</v>
      </c>
      <c r="AU232" s="5">
        <v>0</v>
      </c>
      <c r="AV232" s="5">
        <v>0</v>
      </c>
      <c r="AW232" s="5">
        <v>0</v>
      </c>
      <c r="AX232" s="5">
        <v>4.55274987369036</v>
      </c>
      <c r="AY232" s="5">
        <v>-7.5938637329932</v>
      </c>
      <c r="AZ232" s="5">
        <v>1</v>
      </c>
      <c r="BA232" s="5">
        <v>1</v>
      </c>
    </row>
    <row r="233" hidden="1" spans="1:53">
      <c r="A233" t="s">
        <v>53</v>
      </c>
      <c r="B233" t="s">
        <v>77</v>
      </c>
      <c r="C233" t="s">
        <v>55</v>
      </c>
      <c r="D233" s="4" t="s">
        <v>66</v>
      </c>
      <c r="E233">
        <v>1.2539</v>
      </c>
      <c r="F233">
        <v>6.7</v>
      </c>
      <c r="G233">
        <v>1</v>
      </c>
      <c r="H233">
        <v>17</v>
      </c>
      <c r="I233">
        <v>44</v>
      </c>
      <c r="J233">
        <v>36</v>
      </c>
      <c r="K233">
        <v>20</v>
      </c>
      <c r="L233" t="s">
        <v>57</v>
      </c>
      <c r="M233" t="s">
        <v>58</v>
      </c>
      <c r="N233" t="s">
        <v>86</v>
      </c>
      <c r="O233">
        <v>0.783059949319999</v>
      </c>
      <c r="P233">
        <f t="shared" si="9"/>
        <v>0.624499520950633</v>
      </c>
      <c r="Q233">
        <f t="shared" si="8"/>
        <v>-0.47080471650946</v>
      </c>
      <c r="R233">
        <v>150</v>
      </c>
      <c r="S233" t="s">
        <v>60</v>
      </c>
      <c r="T233" t="s">
        <v>61</v>
      </c>
      <c r="U233" t="s">
        <v>62</v>
      </c>
      <c r="V233">
        <v>1</v>
      </c>
      <c r="W233">
        <v>0</v>
      </c>
      <c r="X233">
        <v>1</v>
      </c>
      <c r="Y233">
        <v>1</v>
      </c>
      <c r="Z233">
        <v>0</v>
      </c>
      <c r="AA233">
        <v>0</v>
      </c>
      <c r="AB233">
        <v>1</v>
      </c>
      <c r="AC233">
        <v>0</v>
      </c>
      <c r="AD233">
        <v>1</v>
      </c>
      <c r="AE233" s="5">
        <v>12.8254166666667</v>
      </c>
      <c r="AF233" s="5">
        <v>4.27882137345679</v>
      </c>
      <c r="AG233" s="5">
        <v>0.653062667189842</v>
      </c>
      <c r="AH233" s="5">
        <v>16.12</v>
      </c>
      <c r="AI233" s="5">
        <v>0.459647294455008</v>
      </c>
      <c r="AJ233" s="5">
        <v>-0.47662745733429</v>
      </c>
      <c r="AK233" s="5">
        <v>0.47662745733429</v>
      </c>
      <c r="AL233" s="5">
        <v>0.459647294455008</v>
      </c>
      <c r="AM233" s="5">
        <v>9.90907137329749</v>
      </c>
      <c r="AN233" s="5">
        <v>-0.449718247791216</v>
      </c>
      <c r="AO233" s="5">
        <v>-1.58</v>
      </c>
      <c r="AP233" s="5">
        <v>39741.8973369129</v>
      </c>
      <c r="AQ233" s="5">
        <v>2.73920148528388</v>
      </c>
      <c r="AR233" s="5">
        <v>0</v>
      </c>
      <c r="AS233" s="5">
        <v>4.79453718407182</v>
      </c>
      <c r="AT233" s="5">
        <v>0</v>
      </c>
      <c r="AU233" s="5">
        <v>0</v>
      </c>
      <c r="AV233" s="5">
        <v>0</v>
      </c>
      <c r="AW233" s="5">
        <v>0</v>
      </c>
      <c r="AX233" s="5">
        <v>5.10652739484071</v>
      </c>
      <c r="AY233" s="5">
        <v>-7.69383775037793</v>
      </c>
      <c r="AZ233" s="5">
        <v>0.875</v>
      </c>
      <c r="BA233" s="5">
        <v>1</v>
      </c>
    </row>
    <row r="234" hidden="1" spans="1:53">
      <c r="A234" t="s">
        <v>53</v>
      </c>
      <c r="B234" t="s">
        <v>77</v>
      </c>
      <c r="C234" t="s">
        <v>55</v>
      </c>
      <c r="D234" s="4" t="s">
        <v>67</v>
      </c>
      <c r="E234">
        <v>0.0585999999999998</v>
      </c>
      <c r="F234">
        <v>6.7</v>
      </c>
      <c r="G234">
        <v>1</v>
      </c>
      <c r="H234">
        <v>17</v>
      </c>
      <c r="I234">
        <v>44</v>
      </c>
      <c r="J234">
        <v>36</v>
      </c>
      <c r="K234">
        <v>20</v>
      </c>
      <c r="L234" t="s">
        <v>57</v>
      </c>
      <c r="M234" t="s">
        <v>58</v>
      </c>
      <c r="N234" t="s">
        <v>86</v>
      </c>
      <c r="O234">
        <v>1.41877693764</v>
      </c>
      <c r="P234">
        <f t="shared" si="9"/>
        <v>24.2112105399318</v>
      </c>
      <c r="Q234">
        <f t="shared" si="8"/>
        <v>3.18681577134932</v>
      </c>
      <c r="R234">
        <v>150</v>
      </c>
      <c r="S234" t="s">
        <v>60</v>
      </c>
      <c r="T234" t="s">
        <v>61</v>
      </c>
      <c r="U234" t="s">
        <v>62</v>
      </c>
      <c r="V234">
        <v>1</v>
      </c>
      <c r="W234">
        <v>0</v>
      </c>
      <c r="X234">
        <v>1</v>
      </c>
      <c r="Y234">
        <v>1</v>
      </c>
      <c r="Z234">
        <v>0</v>
      </c>
      <c r="AA234">
        <v>0</v>
      </c>
      <c r="AB234">
        <v>1</v>
      </c>
      <c r="AC234">
        <v>0</v>
      </c>
      <c r="AD234">
        <v>1</v>
      </c>
      <c r="AE234" s="5">
        <v>13.0371419123205</v>
      </c>
      <c r="AF234" s="5">
        <v>7.66829457707096</v>
      </c>
      <c r="AG234" s="5">
        <v>0.402493807679921</v>
      </c>
      <c r="AH234" s="5">
        <v>16.8965517241379</v>
      </c>
      <c r="AI234" s="5">
        <v>0.459647294440031</v>
      </c>
      <c r="AJ234" s="5">
        <v>-0.280752999575314</v>
      </c>
      <c r="AK234" s="5">
        <v>0.459647294440031</v>
      </c>
      <c r="AL234" s="5">
        <v>0.280752999575314</v>
      </c>
      <c r="AM234" s="5">
        <v>9.90856544965598</v>
      </c>
      <c r="AN234" s="5">
        <v>-0.457885273814649</v>
      </c>
      <c r="AO234" s="5">
        <v>-1.28</v>
      </c>
      <c r="AP234" s="5">
        <v>176558.643253875</v>
      </c>
      <c r="AQ234" s="5">
        <v>3.26474212239717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4.55274987369036</v>
      </c>
      <c r="AY234" s="5">
        <v>-7.88274914441085</v>
      </c>
      <c r="AZ234" s="5">
        <v>1</v>
      </c>
      <c r="BA234" s="5">
        <v>1</v>
      </c>
    </row>
    <row r="235" hidden="1" spans="1:53">
      <c r="A235" t="s">
        <v>53</v>
      </c>
      <c r="B235" t="s">
        <v>78</v>
      </c>
      <c r="C235" t="s">
        <v>55</v>
      </c>
      <c r="D235" s="4" t="s">
        <v>56</v>
      </c>
      <c r="E235">
        <v>0.210938</v>
      </c>
      <c r="F235">
        <v>6.7</v>
      </c>
      <c r="G235">
        <v>1</v>
      </c>
      <c r="H235">
        <v>17</v>
      </c>
      <c r="I235">
        <v>44</v>
      </c>
      <c r="J235">
        <v>36</v>
      </c>
      <c r="K235">
        <v>20</v>
      </c>
      <c r="L235" t="s">
        <v>57</v>
      </c>
      <c r="M235" t="s">
        <v>58</v>
      </c>
      <c r="N235" t="s">
        <v>86</v>
      </c>
      <c r="O235">
        <v>6.6459011904</v>
      </c>
      <c r="P235">
        <f t="shared" si="9"/>
        <v>31.5064198503826</v>
      </c>
      <c r="Q235">
        <f t="shared" si="8"/>
        <v>3.45019132984027</v>
      </c>
      <c r="R235">
        <v>150</v>
      </c>
      <c r="S235" t="s">
        <v>60</v>
      </c>
      <c r="T235" t="s">
        <v>61</v>
      </c>
      <c r="U235" t="s">
        <v>62</v>
      </c>
      <c r="V235">
        <v>1</v>
      </c>
      <c r="W235">
        <v>0</v>
      </c>
      <c r="X235">
        <v>1</v>
      </c>
      <c r="Y235">
        <v>1</v>
      </c>
      <c r="Z235">
        <v>0</v>
      </c>
      <c r="AA235">
        <v>0</v>
      </c>
      <c r="AB235">
        <v>1</v>
      </c>
      <c r="AC235">
        <v>0</v>
      </c>
      <c r="AD235">
        <v>1</v>
      </c>
      <c r="AE235" s="5">
        <v>11.7505787037037</v>
      </c>
      <c r="AF235" s="5">
        <v>3.53256944444444</v>
      </c>
      <c r="AG235" s="5">
        <v>0.712441776552488</v>
      </c>
      <c r="AH235" s="5">
        <v>14.3846153846154</v>
      </c>
      <c r="AI235" s="5">
        <v>0.460094687009651</v>
      </c>
      <c r="AJ235" s="5">
        <v>-0.476625664235965</v>
      </c>
      <c r="AK235" s="5">
        <v>0.476625664235965</v>
      </c>
      <c r="AL235" s="5">
        <v>0.460094687009651</v>
      </c>
      <c r="AM235" s="5">
        <v>10.1473915373546</v>
      </c>
      <c r="AN235" s="5">
        <v>-0.347050241178715</v>
      </c>
      <c r="AO235" s="5">
        <v>-1.02</v>
      </c>
      <c r="AP235" s="5">
        <v>260.658615872357</v>
      </c>
      <c r="AQ235" s="5">
        <v>1.67669845728037</v>
      </c>
      <c r="AR235" s="5">
        <v>0</v>
      </c>
      <c r="AS235" s="5">
        <v>4.79453718407182</v>
      </c>
      <c r="AT235" s="5">
        <v>0</v>
      </c>
      <c r="AU235" s="5">
        <v>0</v>
      </c>
      <c r="AV235" s="5">
        <v>0</v>
      </c>
      <c r="AW235" s="5">
        <v>0</v>
      </c>
      <c r="AX235" s="5">
        <v>5.10652739484071</v>
      </c>
      <c r="AY235" s="5">
        <v>-6.60229166666667</v>
      </c>
      <c r="AZ235" s="5">
        <v>0.75</v>
      </c>
      <c r="BA235" s="5">
        <v>1</v>
      </c>
    </row>
    <row r="236" hidden="1" spans="1:53">
      <c r="A236" t="s">
        <v>53</v>
      </c>
      <c r="B236" t="s">
        <v>78</v>
      </c>
      <c r="C236" t="s">
        <v>55</v>
      </c>
      <c r="D236" s="4" t="s">
        <v>63</v>
      </c>
      <c r="E236">
        <v>0.175781</v>
      </c>
      <c r="F236">
        <v>6.7</v>
      </c>
      <c r="G236">
        <v>1</v>
      </c>
      <c r="H236">
        <v>17</v>
      </c>
      <c r="I236">
        <v>44</v>
      </c>
      <c r="J236">
        <v>36</v>
      </c>
      <c r="K236">
        <v>20</v>
      </c>
      <c r="L236" t="s">
        <v>57</v>
      </c>
      <c r="M236" t="s">
        <v>58</v>
      </c>
      <c r="N236" t="s">
        <v>86</v>
      </c>
      <c r="O236">
        <v>0.343752067199999</v>
      </c>
      <c r="P236">
        <f t="shared" si="9"/>
        <v>1.95557009688191</v>
      </c>
      <c r="Q236">
        <f t="shared" si="8"/>
        <v>0.670681760585763</v>
      </c>
      <c r="R236">
        <v>150</v>
      </c>
      <c r="S236" t="s">
        <v>60</v>
      </c>
      <c r="T236" t="s">
        <v>61</v>
      </c>
      <c r="U236" t="s">
        <v>62</v>
      </c>
      <c r="V236">
        <v>1</v>
      </c>
      <c r="W236">
        <v>0</v>
      </c>
      <c r="X236">
        <v>1</v>
      </c>
      <c r="Y236">
        <v>1</v>
      </c>
      <c r="Z236">
        <v>0</v>
      </c>
      <c r="AA236">
        <v>0</v>
      </c>
      <c r="AB236">
        <v>1</v>
      </c>
      <c r="AC236">
        <v>0</v>
      </c>
      <c r="AD236">
        <v>1</v>
      </c>
      <c r="AE236" s="5">
        <v>12.2120833333333</v>
      </c>
      <c r="AF236" s="5">
        <v>7.00097222222222</v>
      </c>
      <c r="AG236" s="5">
        <v>0.642528075697275</v>
      </c>
      <c r="AH236" s="5">
        <v>16.1176470588235</v>
      </c>
      <c r="AI236" s="5">
        <v>0.459694901747447</v>
      </c>
      <c r="AJ236" s="5">
        <v>-0.280752981483328</v>
      </c>
      <c r="AK236" s="5">
        <v>0.459694901747447</v>
      </c>
      <c r="AL236" s="5">
        <v>0.280752981483328</v>
      </c>
      <c r="AM236" s="5">
        <v>10.1452721658031</v>
      </c>
      <c r="AN236" s="5">
        <v>-0.382289160206052</v>
      </c>
      <c r="AO236" s="5">
        <v>-0.72</v>
      </c>
      <c r="AP236" s="5">
        <v>1212.20967645111</v>
      </c>
      <c r="AQ236" s="5">
        <v>2.16502218725737</v>
      </c>
      <c r="AR236" s="5">
        <v>0</v>
      </c>
      <c r="AS236" s="5">
        <v>0</v>
      </c>
      <c r="AT236" s="5">
        <v>0</v>
      </c>
      <c r="AU236" s="5">
        <v>0</v>
      </c>
      <c r="AV236" s="5">
        <v>0</v>
      </c>
      <c r="AW236" s="5">
        <v>0</v>
      </c>
      <c r="AX236" s="5">
        <v>4.55274987369036</v>
      </c>
      <c r="AY236" s="5">
        <v>-7.13430555555556</v>
      </c>
      <c r="AZ236" s="5">
        <v>1</v>
      </c>
      <c r="BA236" s="5">
        <v>1</v>
      </c>
    </row>
    <row r="237" hidden="1" spans="1:53">
      <c r="A237" t="s">
        <v>53</v>
      </c>
      <c r="B237" t="s">
        <v>78</v>
      </c>
      <c r="C237" t="s">
        <v>55</v>
      </c>
      <c r="D237" s="4" t="s">
        <v>65</v>
      </c>
      <c r="E237">
        <v>0.023437</v>
      </c>
      <c r="F237">
        <v>6.7</v>
      </c>
      <c r="G237">
        <v>1</v>
      </c>
      <c r="H237">
        <v>17</v>
      </c>
      <c r="I237">
        <v>44</v>
      </c>
      <c r="J237">
        <v>36</v>
      </c>
      <c r="K237">
        <v>20</v>
      </c>
      <c r="L237" t="s">
        <v>57</v>
      </c>
      <c r="M237" t="s">
        <v>58</v>
      </c>
      <c r="N237" t="s">
        <v>86</v>
      </c>
      <c r="O237">
        <v>0.126922392</v>
      </c>
      <c r="P237">
        <f t="shared" si="9"/>
        <v>5.41547092204634</v>
      </c>
      <c r="Q237">
        <f t="shared" si="8"/>
        <v>1.68925984288516</v>
      </c>
      <c r="R237">
        <v>150</v>
      </c>
      <c r="S237" t="s">
        <v>60</v>
      </c>
      <c r="T237" t="s">
        <v>61</v>
      </c>
      <c r="U237" t="s">
        <v>62</v>
      </c>
      <c r="V237">
        <v>1</v>
      </c>
      <c r="W237">
        <v>0</v>
      </c>
      <c r="X237">
        <v>1</v>
      </c>
      <c r="Y237">
        <v>1</v>
      </c>
      <c r="Z237">
        <v>0</v>
      </c>
      <c r="AA237">
        <v>0</v>
      </c>
      <c r="AB237">
        <v>1</v>
      </c>
      <c r="AC237">
        <v>0</v>
      </c>
      <c r="AD237">
        <v>1</v>
      </c>
      <c r="AE237" s="5">
        <v>12.6956944444444</v>
      </c>
      <c r="AF237" s="5">
        <v>7.51923752834467</v>
      </c>
      <c r="AG237" s="5">
        <v>0.567423483996869</v>
      </c>
      <c r="AH237" s="5">
        <v>16.6086956521739</v>
      </c>
      <c r="AI237" s="5">
        <v>0.459647303367286</v>
      </c>
      <c r="AJ237" s="5">
        <v>-0.280752999575136</v>
      </c>
      <c r="AK237" s="5">
        <v>0.459647303367286</v>
      </c>
      <c r="AL237" s="5">
        <v>0.280752999575136</v>
      </c>
      <c r="AM237" s="5">
        <v>9.97962409166519</v>
      </c>
      <c r="AN237" s="5">
        <v>-0.433260944725331</v>
      </c>
      <c r="AO237" s="5">
        <v>-1</v>
      </c>
      <c r="AP237" s="5">
        <v>14934.5346948423</v>
      </c>
      <c r="AQ237" s="5">
        <v>2.69882520469918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4.55274987369036</v>
      </c>
      <c r="AY237" s="5">
        <v>-7.5938637329932</v>
      </c>
      <c r="AZ237" s="5">
        <v>1</v>
      </c>
      <c r="BA237" s="5">
        <v>1</v>
      </c>
    </row>
    <row r="238" hidden="1" spans="1:53">
      <c r="A238" t="s">
        <v>53</v>
      </c>
      <c r="B238" t="s">
        <v>78</v>
      </c>
      <c r="C238" t="s">
        <v>55</v>
      </c>
      <c r="D238" s="4" t="s">
        <v>66</v>
      </c>
      <c r="E238">
        <v>0.152344</v>
      </c>
      <c r="F238">
        <v>6.7</v>
      </c>
      <c r="G238">
        <v>1</v>
      </c>
      <c r="H238">
        <v>17</v>
      </c>
      <c r="I238">
        <v>44</v>
      </c>
      <c r="J238">
        <v>36</v>
      </c>
      <c r="K238">
        <v>20</v>
      </c>
      <c r="L238" t="s">
        <v>57</v>
      </c>
      <c r="M238" t="s">
        <v>58</v>
      </c>
      <c r="N238" t="s">
        <v>86</v>
      </c>
      <c r="O238">
        <v>0.827186750400001</v>
      </c>
      <c r="P238">
        <f t="shared" si="9"/>
        <v>5.42972975896656</v>
      </c>
      <c r="Q238">
        <f t="shared" si="8"/>
        <v>1.69188936456125</v>
      </c>
      <c r="R238">
        <v>150</v>
      </c>
      <c r="S238" t="s">
        <v>60</v>
      </c>
      <c r="T238" t="s">
        <v>61</v>
      </c>
      <c r="U238" t="s">
        <v>62</v>
      </c>
      <c r="V238">
        <v>1</v>
      </c>
      <c r="W238">
        <v>0</v>
      </c>
      <c r="X238">
        <v>1</v>
      </c>
      <c r="Y238">
        <v>1</v>
      </c>
      <c r="Z238">
        <v>0</v>
      </c>
      <c r="AA238">
        <v>0</v>
      </c>
      <c r="AB238">
        <v>1</v>
      </c>
      <c r="AC238">
        <v>0</v>
      </c>
      <c r="AD238">
        <v>1</v>
      </c>
      <c r="AE238" s="5">
        <v>12.8254166666667</v>
      </c>
      <c r="AF238" s="5">
        <v>4.27882137345679</v>
      </c>
      <c r="AG238" s="5">
        <v>0.653062667189842</v>
      </c>
      <c r="AH238" s="5">
        <v>16.12</v>
      </c>
      <c r="AI238" s="5">
        <v>0.459647294455008</v>
      </c>
      <c r="AJ238" s="5">
        <v>-0.47662745733429</v>
      </c>
      <c r="AK238" s="5">
        <v>0.47662745733429</v>
      </c>
      <c r="AL238" s="5">
        <v>0.459647294455008</v>
      </c>
      <c r="AM238" s="5">
        <v>9.90907137329749</v>
      </c>
      <c r="AN238" s="5">
        <v>-0.449718247791216</v>
      </c>
      <c r="AO238" s="5">
        <v>-1.58</v>
      </c>
      <c r="AP238" s="5">
        <v>39741.8973369129</v>
      </c>
      <c r="AQ238" s="5">
        <v>2.73920148528388</v>
      </c>
      <c r="AR238" s="5">
        <v>0</v>
      </c>
      <c r="AS238" s="5">
        <v>4.79453718407182</v>
      </c>
      <c r="AT238" s="5">
        <v>0</v>
      </c>
      <c r="AU238" s="5">
        <v>0</v>
      </c>
      <c r="AV238" s="5">
        <v>0</v>
      </c>
      <c r="AW238" s="5">
        <v>0</v>
      </c>
      <c r="AX238" s="5">
        <v>5.10652739484071</v>
      </c>
      <c r="AY238" s="5">
        <v>-7.69383775037793</v>
      </c>
      <c r="AZ238" s="5">
        <v>0.875</v>
      </c>
      <c r="BA238" s="5">
        <v>1</v>
      </c>
    </row>
    <row r="239" hidden="1" spans="1:53">
      <c r="A239" t="s">
        <v>53</v>
      </c>
      <c r="B239" t="s">
        <v>78</v>
      </c>
      <c r="C239" t="s">
        <v>55</v>
      </c>
      <c r="D239" s="4" t="s">
        <v>67</v>
      </c>
      <c r="E239">
        <v>0.0234369999999999</v>
      </c>
      <c r="F239">
        <v>6.7</v>
      </c>
      <c r="G239">
        <v>1</v>
      </c>
      <c r="H239">
        <v>17</v>
      </c>
      <c r="I239">
        <v>44</v>
      </c>
      <c r="J239">
        <v>36</v>
      </c>
      <c r="K239">
        <v>20</v>
      </c>
      <c r="L239" t="s">
        <v>57</v>
      </c>
      <c r="M239" t="s">
        <v>58</v>
      </c>
      <c r="N239" t="s">
        <v>86</v>
      </c>
      <c r="O239">
        <v>1.2726022416</v>
      </c>
      <c r="P239">
        <f t="shared" si="9"/>
        <v>54.2988540171526</v>
      </c>
      <c r="Q239">
        <f t="shared" si="8"/>
        <v>3.99450312206069</v>
      </c>
      <c r="R239">
        <v>150</v>
      </c>
      <c r="S239" t="s">
        <v>60</v>
      </c>
      <c r="T239" t="s">
        <v>61</v>
      </c>
      <c r="U239" t="s">
        <v>62</v>
      </c>
      <c r="V239">
        <v>1</v>
      </c>
      <c r="W239">
        <v>0</v>
      </c>
      <c r="X239">
        <v>1</v>
      </c>
      <c r="Y239">
        <v>1</v>
      </c>
      <c r="Z239">
        <v>0</v>
      </c>
      <c r="AA239">
        <v>0</v>
      </c>
      <c r="AB239">
        <v>1</v>
      </c>
      <c r="AC239">
        <v>0</v>
      </c>
      <c r="AD239">
        <v>1</v>
      </c>
      <c r="AE239" s="5">
        <v>13.0371419123205</v>
      </c>
      <c r="AF239" s="5">
        <v>7.66829457707096</v>
      </c>
      <c r="AG239" s="5">
        <v>0.402493807679921</v>
      </c>
      <c r="AH239" s="5">
        <v>16.8965517241379</v>
      </c>
      <c r="AI239" s="5">
        <v>0.459647294440031</v>
      </c>
      <c r="AJ239" s="5">
        <v>-0.280752999575314</v>
      </c>
      <c r="AK239" s="5">
        <v>0.459647294440031</v>
      </c>
      <c r="AL239" s="5">
        <v>0.280752999575314</v>
      </c>
      <c r="AM239" s="5">
        <v>9.90856544965598</v>
      </c>
      <c r="AN239" s="5">
        <v>-0.457885273814649</v>
      </c>
      <c r="AO239" s="5">
        <v>-1.28</v>
      </c>
      <c r="AP239" s="5">
        <v>176558.643253875</v>
      </c>
      <c r="AQ239" s="5">
        <v>3.26474212239717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4.55274987369036</v>
      </c>
      <c r="AY239" s="5">
        <v>-7.88274914441085</v>
      </c>
      <c r="AZ239" s="5">
        <v>1</v>
      </c>
      <c r="BA239" s="5">
        <v>1</v>
      </c>
    </row>
    <row r="240" hidden="1" spans="1:53">
      <c r="A240" t="s">
        <v>53</v>
      </c>
      <c r="B240" t="s">
        <v>79</v>
      </c>
      <c r="C240" t="s">
        <v>55</v>
      </c>
      <c r="D240" s="4" t="s">
        <v>56</v>
      </c>
      <c r="E240">
        <v>0.234375</v>
      </c>
      <c r="F240">
        <v>6.7</v>
      </c>
      <c r="G240">
        <v>1</v>
      </c>
      <c r="H240">
        <v>17</v>
      </c>
      <c r="I240">
        <v>44</v>
      </c>
      <c r="J240">
        <v>36</v>
      </c>
      <c r="K240">
        <v>20</v>
      </c>
      <c r="L240" t="s">
        <v>57</v>
      </c>
      <c r="M240" t="s">
        <v>58</v>
      </c>
      <c r="N240" t="s">
        <v>86</v>
      </c>
      <c r="O240">
        <v>0.50032384916</v>
      </c>
      <c r="P240">
        <f t="shared" si="9"/>
        <v>2.13471508974933</v>
      </c>
      <c r="Q240">
        <f t="shared" si="8"/>
        <v>0.758333190351488</v>
      </c>
      <c r="R240">
        <v>150</v>
      </c>
      <c r="S240" t="s">
        <v>60</v>
      </c>
      <c r="T240" t="s">
        <v>61</v>
      </c>
      <c r="U240" t="s">
        <v>62</v>
      </c>
      <c r="V240">
        <v>1</v>
      </c>
      <c r="W240">
        <v>0</v>
      </c>
      <c r="X240">
        <v>1</v>
      </c>
      <c r="Y240">
        <v>1</v>
      </c>
      <c r="Z240">
        <v>0</v>
      </c>
      <c r="AA240">
        <v>0</v>
      </c>
      <c r="AB240">
        <v>1</v>
      </c>
      <c r="AC240">
        <v>0</v>
      </c>
      <c r="AD240">
        <v>1</v>
      </c>
      <c r="AE240" s="5">
        <v>11.7505787037037</v>
      </c>
      <c r="AF240" s="5">
        <v>3.53256944444444</v>
      </c>
      <c r="AG240" s="5">
        <v>0.712441776552488</v>
      </c>
      <c r="AH240" s="5">
        <v>14.3846153846154</v>
      </c>
      <c r="AI240" s="5">
        <v>0.460094687009651</v>
      </c>
      <c r="AJ240" s="5">
        <v>-0.476625664235965</v>
      </c>
      <c r="AK240" s="5">
        <v>0.476625664235965</v>
      </c>
      <c r="AL240" s="5">
        <v>0.460094687009651</v>
      </c>
      <c r="AM240" s="5">
        <v>10.1473915373546</v>
      </c>
      <c r="AN240" s="5">
        <v>-0.347050241178715</v>
      </c>
      <c r="AO240" s="5">
        <v>-1.02</v>
      </c>
      <c r="AP240" s="5">
        <v>260.658615872357</v>
      </c>
      <c r="AQ240" s="5">
        <v>1.67669845728037</v>
      </c>
      <c r="AR240" s="5">
        <v>0</v>
      </c>
      <c r="AS240" s="5">
        <v>4.79453718407182</v>
      </c>
      <c r="AT240" s="5">
        <v>0</v>
      </c>
      <c r="AU240" s="5">
        <v>0</v>
      </c>
      <c r="AV240" s="5">
        <v>0</v>
      </c>
      <c r="AW240" s="5">
        <v>0</v>
      </c>
      <c r="AX240" s="5">
        <v>5.10652739484071</v>
      </c>
      <c r="AY240" s="5">
        <v>-6.60229166666667</v>
      </c>
      <c r="AZ240" s="5">
        <v>0.75</v>
      </c>
      <c r="BA240" s="5">
        <v>1</v>
      </c>
    </row>
    <row r="241" hidden="1" spans="1:53">
      <c r="A241" t="s">
        <v>53</v>
      </c>
      <c r="B241" t="s">
        <v>79</v>
      </c>
      <c r="C241" t="s">
        <v>55</v>
      </c>
      <c r="D241" s="4" t="s">
        <v>63</v>
      </c>
      <c r="E241">
        <v>0.058594</v>
      </c>
      <c r="F241">
        <v>6.7</v>
      </c>
      <c r="G241">
        <v>1</v>
      </c>
      <c r="H241">
        <v>17</v>
      </c>
      <c r="I241">
        <v>44</v>
      </c>
      <c r="J241">
        <v>36</v>
      </c>
      <c r="K241">
        <v>20</v>
      </c>
      <c r="L241" t="s">
        <v>57</v>
      </c>
      <c r="M241" t="s">
        <v>58</v>
      </c>
      <c r="N241" t="s">
        <v>86</v>
      </c>
      <c r="O241">
        <v>0.18972828212</v>
      </c>
      <c r="P241">
        <f t="shared" si="9"/>
        <v>3.23801553264839</v>
      </c>
      <c r="Q241">
        <f t="shared" si="8"/>
        <v>1.17496065223232</v>
      </c>
      <c r="R241">
        <v>150</v>
      </c>
      <c r="S241" t="s">
        <v>60</v>
      </c>
      <c r="T241" t="s">
        <v>61</v>
      </c>
      <c r="U241" t="s">
        <v>62</v>
      </c>
      <c r="V241">
        <v>1</v>
      </c>
      <c r="W241">
        <v>0</v>
      </c>
      <c r="X241">
        <v>1</v>
      </c>
      <c r="Y241">
        <v>1</v>
      </c>
      <c r="Z241">
        <v>0</v>
      </c>
      <c r="AA241">
        <v>0</v>
      </c>
      <c r="AB241">
        <v>1</v>
      </c>
      <c r="AC241">
        <v>0</v>
      </c>
      <c r="AD241">
        <v>1</v>
      </c>
      <c r="AE241" s="5">
        <v>12.2120833333333</v>
      </c>
      <c r="AF241" s="5">
        <v>7.00097222222222</v>
      </c>
      <c r="AG241" s="5">
        <v>0.642528075697275</v>
      </c>
      <c r="AH241" s="5">
        <v>16.1176470588235</v>
      </c>
      <c r="AI241" s="5">
        <v>0.459694901747447</v>
      </c>
      <c r="AJ241" s="5">
        <v>-0.280752981483328</v>
      </c>
      <c r="AK241" s="5">
        <v>0.459694901747447</v>
      </c>
      <c r="AL241" s="5">
        <v>0.280752981483328</v>
      </c>
      <c r="AM241" s="5">
        <v>10.1452721658031</v>
      </c>
      <c r="AN241" s="5">
        <v>-0.382289160206052</v>
      </c>
      <c r="AO241" s="5">
        <v>-0.72</v>
      </c>
      <c r="AP241" s="5">
        <v>1212.20967645111</v>
      </c>
      <c r="AQ241" s="5">
        <v>2.16502218725737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4.55274987369036</v>
      </c>
      <c r="AY241" s="5">
        <v>-7.13430555555556</v>
      </c>
      <c r="AZ241" s="5">
        <v>1</v>
      </c>
      <c r="BA241" s="5">
        <v>1</v>
      </c>
    </row>
    <row r="242" hidden="1" spans="1:53">
      <c r="A242" t="s">
        <v>53</v>
      </c>
      <c r="B242" t="s">
        <v>79</v>
      </c>
      <c r="C242" t="s">
        <v>55</v>
      </c>
      <c r="D242" s="4" t="s">
        <v>65</v>
      </c>
      <c r="E242">
        <v>0.09375</v>
      </c>
      <c r="F242">
        <v>6.7</v>
      </c>
      <c r="G242">
        <v>1</v>
      </c>
      <c r="H242">
        <v>17</v>
      </c>
      <c r="I242">
        <v>44</v>
      </c>
      <c r="J242">
        <v>36</v>
      </c>
      <c r="K242">
        <v>20</v>
      </c>
      <c r="L242" t="s">
        <v>57</v>
      </c>
      <c r="M242" t="s">
        <v>58</v>
      </c>
      <c r="N242" t="s">
        <v>86</v>
      </c>
      <c r="O242">
        <v>0.24115686276</v>
      </c>
      <c r="P242">
        <f t="shared" si="9"/>
        <v>2.57233986944</v>
      </c>
      <c r="Q242">
        <f t="shared" si="8"/>
        <v>0.944815939729358</v>
      </c>
      <c r="R242">
        <v>150</v>
      </c>
      <c r="S242" t="s">
        <v>60</v>
      </c>
      <c r="T242" t="s">
        <v>61</v>
      </c>
      <c r="U242" t="s">
        <v>62</v>
      </c>
      <c r="V242">
        <v>1</v>
      </c>
      <c r="W242">
        <v>0</v>
      </c>
      <c r="X242">
        <v>1</v>
      </c>
      <c r="Y242">
        <v>1</v>
      </c>
      <c r="Z242">
        <v>0</v>
      </c>
      <c r="AA242">
        <v>0</v>
      </c>
      <c r="AB242">
        <v>1</v>
      </c>
      <c r="AC242">
        <v>0</v>
      </c>
      <c r="AD242">
        <v>1</v>
      </c>
      <c r="AE242" s="5">
        <v>12.6956944444444</v>
      </c>
      <c r="AF242" s="5">
        <v>7.51923752834467</v>
      </c>
      <c r="AG242" s="5">
        <v>0.567423483996869</v>
      </c>
      <c r="AH242" s="5">
        <v>16.6086956521739</v>
      </c>
      <c r="AI242" s="5">
        <v>0.459647303367286</v>
      </c>
      <c r="AJ242" s="5">
        <v>-0.280752999575136</v>
      </c>
      <c r="AK242" s="5">
        <v>0.459647303367286</v>
      </c>
      <c r="AL242" s="5">
        <v>0.280752999575136</v>
      </c>
      <c r="AM242" s="5">
        <v>9.97962409166519</v>
      </c>
      <c r="AN242" s="5">
        <v>-0.433260944725331</v>
      </c>
      <c r="AO242" s="5">
        <v>-1</v>
      </c>
      <c r="AP242" s="5">
        <v>14934.5346948423</v>
      </c>
      <c r="AQ242" s="5">
        <v>2.69882520469918</v>
      </c>
      <c r="AR242" s="5">
        <v>0</v>
      </c>
      <c r="AS242" s="5">
        <v>0</v>
      </c>
      <c r="AT242" s="5">
        <v>0</v>
      </c>
      <c r="AU242" s="5">
        <v>0</v>
      </c>
      <c r="AV242" s="5">
        <v>0</v>
      </c>
      <c r="AW242" s="5">
        <v>0</v>
      </c>
      <c r="AX242" s="5">
        <v>4.55274987369036</v>
      </c>
      <c r="AY242" s="5">
        <v>-7.5938637329932</v>
      </c>
      <c r="AZ242" s="5">
        <v>1</v>
      </c>
      <c r="BA242" s="5">
        <v>1</v>
      </c>
    </row>
    <row r="243" hidden="1" spans="1:53">
      <c r="A243" t="s">
        <v>53</v>
      </c>
      <c r="B243" t="s">
        <v>79</v>
      </c>
      <c r="C243" t="s">
        <v>55</v>
      </c>
      <c r="D243" s="4" t="s">
        <v>66</v>
      </c>
      <c r="E243">
        <v>0.433593</v>
      </c>
      <c r="F243">
        <v>6.7</v>
      </c>
      <c r="G243">
        <v>1</v>
      </c>
      <c r="H243">
        <v>17</v>
      </c>
      <c r="I243">
        <v>44</v>
      </c>
      <c r="J243">
        <v>36</v>
      </c>
      <c r="K243">
        <v>20</v>
      </c>
      <c r="L243" t="s">
        <v>57</v>
      </c>
      <c r="M243" t="s">
        <v>58</v>
      </c>
      <c r="N243" t="s">
        <v>86</v>
      </c>
      <c r="O243">
        <v>0.76945101164</v>
      </c>
      <c r="P243">
        <f t="shared" si="9"/>
        <v>1.77459279010501</v>
      </c>
      <c r="Q243">
        <f t="shared" si="8"/>
        <v>0.573570982582608</v>
      </c>
      <c r="R243">
        <v>150</v>
      </c>
      <c r="S243" t="s">
        <v>60</v>
      </c>
      <c r="T243" t="s">
        <v>61</v>
      </c>
      <c r="U243" t="s">
        <v>62</v>
      </c>
      <c r="V243">
        <v>1</v>
      </c>
      <c r="W243">
        <v>0</v>
      </c>
      <c r="X243">
        <v>1</v>
      </c>
      <c r="Y243">
        <v>1</v>
      </c>
      <c r="Z243">
        <v>0</v>
      </c>
      <c r="AA243">
        <v>0</v>
      </c>
      <c r="AB243">
        <v>1</v>
      </c>
      <c r="AC243">
        <v>0</v>
      </c>
      <c r="AD243">
        <v>1</v>
      </c>
      <c r="AE243" s="5">
        <v>12.8254166666667</v>
      </c>
      <c r="AF243" s="5">
        <v>4.27882137345679</v>
      </c>
      <c r="AG243" s="5">
        <v>0.653062667189842</v>
      </c>
      <c r="AH243" s="5">
        <v>16.12</v>
      </c>
      <c r="AI243" s="5">
        <v>0.459647294455008</v>
      </c>
      <c r="AJ243" s="5">
        <v>-0.47662745733429</v>
      </c>
      <c r="AK243" s="5">
        <v>0.47662745733429</v>
      </c>
      <c r="AL243" s="5">
        <v>0.459647294455008</v>
      </c>
      <c r="AM243" s="5">
        <v>9.90907137329749</v>
      </c>
      <c r="AN243" s="5">
        <v>-0.449718247791216</v>
      </c>
      <c r="AO243" s="5">
        <v>-1.58</v>
      </c>
      <c r="AP243" s="5">
        <v>39741.8973369129</v>
      </c>
      <c r="AQ243" s="5">
        <v>2.73920148528388</v>
      </c>
      <c r="AR243" s="5">
        <v>0</v>
      </c>
      <c r="AS243" s="5">
        <v>4.79453718407182</v>
      </c>
      <c r="AT243" s="5">
        <v>0</v>
      </c>
      <c r="AU243" s="5">
        <v>0</v>
      </c>
      <c r="AV243" s="5">
        <v>0</v>
      </c>
      <c r="AW243" s="5">
        <v>0</v>
      </c>
      <c r="AX243" s="5">
        <v>5.10652739484071</v>
      </c>
      <c r="AY243" s="5">
        <v>-7.69383775037793</v>
      </c>
      <c r="AZ243" s="5">
        <v>0.875</v>
      </c>
      <c r="BA243" s="5">
        <v>1</v>
      </c>
    </row>
    <row r="244" hidden="1" spans="1:53">
      <c r="A244" t="s">
        <v>53</v>
      </c>
      <c r="B244" t="s">
        <v>79</v>
      </c>
      <c r="C244" t="s">
        <v>55</v>
      </c>
      <c r="D244" s="4" t="s">
        <v>67</v>
      </c>
      <c r="E244">
        <v>0.126157</v>
      </c>
      <c r="F244">
        <v>6.7</v>
      </c>
      <c r="G244">
        <v>1</v>
      </c>
      <c r="H244">
        <v>17</v>
      </c>
      <c r="I244">
        <v>44</v>
      </c>
      <c r="J244">
        <v>36</v>
      </c>
      <c r="K244">
        <v>20</v>
      </c>
      <c r="L244" t="s">
        <v>57</v>
      </c>
      <c r="M244" t="s">
        <v>58</v>
      </c>
      <c r="N244" t="s">
        <v>86</v>
      </c>
      <c r="O244">
        <v>1.35949234864</v>
      </c>
      <c r="P244">
        <f t="shared" si="9"/>
        <v>10.7761943343612</v>
      </c>
      <c r="Q244">
        <f t="shared" si="8"/>
        <v>2.37733947294333</v>
      </c>
      <c r="R244">
        <v>150</v>
      </c>
      <c r="S244" t="s">
        <v>60</v>
      </c>
      <c r="T244" t="s">
        <v>61</v>
      </c>
      <c r="U244" t="s">
        <v>62</v>
      </c>
      <c r="V244">
        <v>1</v>
      </c>
      <c r="W244">
        <v>0</v>
      </c>
      <c r="X244">
        <v>1</v>
      </c>
      <c r="Y244">
        <v>1</v>
      </c>
      <c r="Z244">
        <v>0</v>
      </c>
      <c r="AA244">
        <v>0</v>
      </c>
      <c r="AB244">
        <v>1</v>
      </c>
      <c r="AC244">
        <v>0</v>
      </c>
      <c r="AD244">
        <v>1</v>
      </c>
      <c r="AE244" s="5">
        <v>13.0371419123205</v>
      </c>
      <c r="AF244" s="5">
        <v>7.66829457707096</v>
      </c>
      <c r="AG244" s="5">
        <v>0.402493807679921</v>
      </c>
      <c r="AH244" s="5">
        <v>16.8965517241379</v>
      </c>
      <c r="AI244" s="5">
        <v>0.459647294440031</v>
      </c>
      <c r="AJ244" s="5">
        <v>-0.280752999575314</v>
      </c>
      <c r="AK244" s="5">
        <v>0.459647294440031</v>
      </c>
      <c r="AL244" s="5">
        <v>0.280752999575314</v>
      </c>
      <c r="AM244" s="5">
        <v>9.90856544965598</v>
      </c>
      <c r="AN244" s="5">
        <v>-0.457885273814649</v>
      </c>
      <c r="AO244" s="5">
        <v>-1.28</v>
      </c>
      <c r="AP244" s="5">
        <v>176558.643253875</v>
      </c>
      <c r="AQ244" s="5">
        <v>3.26474212239717</v>
      </c>
      <c r="AR244" s="5">
        <v>0</v>
      </c>
      <c r="AS244" s="5">
        <v>0</v>
      </c>
      <c r="AT244" s="5">
        <v>0</v>
      </c>
      <c r="AU244" s="5">
        <v>0</v>
      </c>
      <c r="AV244" s="5">
        <v>0</v>
      </c>
      <c r="AW244" s="5">
        <v>0</v>
      </c>
      <c r="AX244" s="5">
        <v>4.55274987369036</v>
      </c>
      <c r="AY244" s="5">
        <v>-7.88274914441085</v>
      </c>
      <c r="AZ244" s="5">
        <v>1</v>
      </c>
      <c r="BA244" s="5">
        <v>1</v>
      </c>
    </row>
    <row r="245" hidden="1" spans="1:53">
      <c r="A245" t="s">
        <v>53</v>
      </c>
      <c r="B245" t="s">
        <v>80</v>
      </c>
      <c r="C245" t="s">
        <v>55</v>
      </c>
      <c r="D245" s="4" t="s">
        <v>56</v>
      </c>
      <c r="E245">
        <v>0.175781</v>
      </c>
      <c r="F245">
        <v>6.7</v>
      </c>
      <c r="G245">
        <v>1</v>
      </c>
      <c r="H245">
        <v>17</v>
      </c>
      <c r="I245">
        <v>44</v>
      </c>
      <c r="J245">
        <v>36</v>
      </c>
      <c r="K245">
        <v>20</v>
      </c>
      <c r="L245" t="s">
        <v>57</v>
      </c>
      <c r="M245" t="s">
        <v>58</v>
      </c>
      <c r="N245" t="s">
        <v>86</v>
      </c>
      <c r="O245">
        <v>4.23775259712</v>
      </c>
      <c r="P245">
        <f t="shared" si="9"/>
        <v>24.1081379507455</v>
      </c>
      <c r="Q245">
        <f t="shared" si="8"/>
        <v>3.18254945780227</v>
      </c>
      <c r="R245">
        <v>150</v>
      </c>
      <c r="S245" t="s">
        <v>60</v>
      </c>
      <c r="T245" t="s">
        <v>61</v>
      </c>
      <c r="U245" t="s">
        <v>62</v>
      </c>
      <c r="V245">
        <v>1</v>
      </c>
      <c r="W245">
        <v>0</v>
      </c>
      <c r="X245">
        <v>1</v>
      </c>
      <c r="Y245">
        <v>1</v>
      </c>
      <c r="Z245">
        <v>0</v>
      </c>
      <c r="AA245">
        <v>0</v>
      </c>
      <c r="AB245">
        <v>1</v>
      </c>
      <c r="AC245">
        <v>0</v>
      </c>
      <c r="AD245">
        <v>1</v>
      </c>
      <c r="AE245" s="5">
        <v>11.7505787037037</v>
      </c>
      <c r="AF245" s="5">
        <v>3.53256944444444</v>
      </c>
      <c r="AG245" s="5">
        <v>0.712441776552488</v>
      </c>
      <c r="AH245" s="5">
        <v>14.3846153846154</v>
      </c>
      <c r="AI245" s="5">
        <v>0.460094687009651</v>
      </c>
      <c r="AJ245" s="5">
        <v>-0.476625664235965</v>
      </c>
      <c r="AK245" s="5">
        <v>0.476625664235965</v>
      </c>
      <c r="AL245" s="5">
        <v>0.460094687009651</v>
      </c>
      <c r="AM245" s="5">
        <v>10.1473915373546</v>
      </c>
      <c r="AN245" s="5">
        <v>-0.347050241178715</v>
      </c>
      <c r="AO245" s="5">
        <v>-1.02</v>
      </c>
      <c r="AP245" s="5">
        <v>260.658615872357</v>
      </c>
      <c r="AQ245" s="5">
        <v>1.67669845728037</v>
      </c>
      <c r="AR245" s="5">
        <v>0</v>
      </c>
      <c r="AS245" s="5">
        <v>4.79453718407182</v>
      </c>
      <c r="AT245" s="5">
        <v>0</v>
      </c>
      <c r="AU245" s="5">
        <v>0</v>
      </c>
      <c r="AV245" s="5">
        <v>0</v>
      </c>
      <c r="AW245" s="5">
        <v>0</v>
      </c>
      <c r="AX245" s="5">
        <v>5.10652739484071</v>
      </c>
      <c r="AY245" s="5">
        <v>-6.60229166666667</v>
      </c>
      <c r="AZ245" s="5">
        <v>0.75</v>
      </c>
      <c r="BA245" s="5">
        <v>1</v>
      </c>
    </row>
    <row r="246" hidden="1" spans="1:53">
      <c r="A246" t="s">
        <v>53</v>
      </c>
      <c r="B246" t="s">
        <v>80</v>
      </c>
      <c r="C246" t="s">
        <v>55</v>
      </c>
      <c r="D246" s="4" t="s">
        <v>63</v>
      </c>
      <c r="E246">
        <v>0.152344</v>
      </c>
      <c r="F246">
        <v>6.7</v>
      </c>
      <c r="G246">
        <v>1</v>
      </c>
      <c r="H246">
        <v>17</v>
      </c>
      <c r="I246">
        <v>44</v>
      </c>
      <c r="J246">
        <v>36</v>
      </c>
      <c r="K246">
        <v>20</v>
      </c>
      <c r="L246" t="s">
        <v>57</v>
      </c>
      <c r="M246" t="s">
        <v>58</v>
      </c>
      <c r="N246" t="s">
        <v>86</v>
      </c>
      <c r="O246">
        <v>0.3896869648</v>
      </c>
      <c r="P246">
        <f t="shared" si="9"/>
        <v>2.55794100719424</v>
      </c>
      <c r="Q246">
        <f t="shared" si="8"/>
        <v>0.939202640808717</v>
      </c>
      <c r="R246">
        <v>150</v>
      </c>
      <c r="S246" t="s">
        <v>60</v>
      </c>
      <c r="T246" t="s">
        <v>61</v>
      </c>
      <c r="U246" t="s">
        <v>62</v>
      </c>
      <c r="V246">
        <v>1</v>
      </c>
      <c r="W246">
        <v>0</v>
      </c>
      <c r="X246">
        <v>1</v>
      </c>
      <c r="Y246">
        <v>1</v>
      </c>
      <c r="Z246">
        <v>0</v>
      </c>
      <c r="AA246">
        <v>0</v>
      </c>
      <c r="AB246">
        <v>1</v>
      </c>
      <c r="AC246">
        <v>0</v>
      </c>
      <c r="AD246">
        <v>1</v>
      </c>
      <c r="AE246" s="5">
        <v>12.2120833333333</v>
      </c>
      <c r="AF246" s="5">
        <v>7.00097222222222</v>
      </c>
      <c r="AG246" s="5">
        <v>0.642528075697275</v>
      </c>
      <c r="AH246" s="5">
        <v>16.1176470588235</v>
      </c>
      <c r="AI246" s="5">
        <v>0.459694901747447</v>
      </c>
      <c r="AJ246" s="5">
        <v>-0.280752981483328</v>
      </c>
      <c r="AK246" s="5">
        <v>0.459694901747447</v>
      </c>
      <c r="AL246" s="5">
        <v>0.280752981483328</v>
      </c>
      <c r="AM246" s="5">
        <v>10.1452721658031</v>
      </c>
      <c r="AN246" s="5">
        <v>-0.382289160206052</v>
      </c>
      <c r="AO246" s="5">
        <v>-0.72</v>
      </c>
      <c r="AP246" s="5">
        <v>1212.20967645111</v>
      </c>
      <c r="AQ246" s="5">
        <v>2.16502218725737</v>
      </c>
      <c r="AR246" s="5">
        <v>0</v>
      </c>
      <c r="AS246" s="5">
        <v>0</v>
      </c>
      <c r="AT246" s="5">
        <v>0</v>
      </c>
      <c r="AU246" s="5">
        <v>0</v>
      </c>
      <c r="AV246" s="5">
        <v>0</v>
      </c>
      <c r="AW246" s="5">
        <v>0</v>
      </c>
      <c r="AX246" s="5">
        <v>4.55274987369036</v>
      </c>
      <c r="AY246" s="5">
        <v>-7.13430555555556</v>
      </c>
      <c r="AZ246" s="5">
        <v>1</v>
      </c>
      <c r="BA246" s="5">
        <v>1</v>
      </c>
    </row>
    <row r="247" hidden="1" spans="1:53">
      <c r="A247" t="s">
        <v>53</v>
      </c>
      <c r="B247" t="s">
        <v>80</v>
      </c>
      <c r="C247" t="s">
        <v>55</v>
      </c>
      <c r="D247" s="4" t="s">
        <v>65</v>
      </c>
      <c r="E247">
        <v>0.058594</v>
      </c>
      <c r="F247">
        <v>6.7</v>
      </c>
      <c r="G247">
        <v>1</v>
      </c>
      <c r="H247">
        <v>17</v>
      </c>
      <c r="I247">
        <v>44</v>
      </c>
      <c r="J247">
        <v>36</v>
      </c>
      <c r="K247">
        <v>20</v>
      </c>
      <c r="L247" t="s">
        <v>57</v>
      </c>
      <c r="M247" t="s">
        <v>58</v>
      </c>
      <c r="N247" t="s">
        <v>86</v>
      </c>
      <c r="O247">
        <v>0.165770198719999</v>
      </c>
      <c r="P247">
        <f t="shared" si="9"/>
        <v>2.82913265385533</v>
      </c>
      <c r="Q247">
        <f t="shared" si="8"/>
        <v>1.03997018194308</v>
      </c>
      <c r="R247">
        <v>150</v>
      </c>
      <c r="S247" t="s">
        <v>60</v>
      </c>
      <c r="T247" t="s">
        <v>61</v>
      </c>
      <c r="U247" t="s">
        <v>62</v>
      </c>
      <c r="V247">
        <v>1</v>
      </c>
      <c r="W247">
        <v>0</v>
      </c>
      <c r="X247">
        <v>1</v>
      </c>
      <c r="Y247">
        <v>1</v>
      </c>
      <c r="Z247">
        <v>0</v>
      </c>
      <c r="AA247">
        <v>0</v>
      </c>
      <c r="AB247">
        <v>1</v>
      </c>
      <c r="AC247">
        <v>0</v>
      </c>
      <c r="AD247">
        <v>1</v>
      </c>
      <c r="AE247" s="5">
        <v>12.6956944444444</v>
      </c>
      <c r="AF247" s="5">
        <v>7.51923752834467</v>
      </c>
      <c r="AG247" s="5">
        <v>0.567423483996869</v>
      </c>
      <c r="AH247" s="5">
        <v>16.6086956521739</v>
      </c>
      <c r="AI247" s="5">
        <v>0.459647303367286</v>
      </c>
      <c r="AJ247" s="5">
        <v>-0.280752999575136</v>
      </c>
      <c r="AK247" s="5">
        <v>0.459647303367286</v>
      </c>
      <c r="AL247" s="5">
        <v>0.280752999575136</v>
      </c>
      <c r="AM247" s="5">
        <v>9.97962409166519</v>
      </c>
      <c r="AN247" s="5">
        <v>-0.433260944725331</v>
      </c>
      <c r="AO247" s="5">
        <v>-1</v>
      </c>
      <c r="AP247" s="5">
        <v>14934.5346948423</v>
      </c>
      <c r="AQ247" s="5">
        <v>2.69882520469918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4.55274987369036</v>
      </c>
      <c r="AY247" s="5">
        <v>-7.5938637329932</v>
      </c>
      <c r="AZ247" s="5">
        <v>1</v>
      </c>
      <c r="BA247" s="5">
        <v>1</v>
      </c>
    </row>
    <row r="248" hidden="1" spans="1:53">
      <c r="A248" t="s">
        <v>53</v>
      </c>
      <c r="B248" t="s">
        <v>80</v>
      </c>
      <c r="C248" t="s">
        <v>55</v>
      </c>
      <c r="D248" s="4" t="s">
        <v>66</v>
      </c>
      <c r="E248">
        <v>0.351563</v>
      </c>
      <c r="F248">
        <v>6.7</v>
      </c>
      <c r="G248">
        <v>1</v>
      </c>
      <c r="H248">
        <v>17</v>
      </c>
      <c r="I248">
        <v>44</v>
      </c>
      <c r="J248">
        <v>36</v>
      </c>
      <c r="K248">
        <v>20</v>
      </c>
      <c r="L248" t="s">
        <v>57</v>
      </c>
      <c r="M248" t="s">
        <v>58</v>
      </c>
      <c r="N248" t="s">
        <v>86</v>
      </c>
      <c r="O248">
        <v>0.80904414304</v>
      </c>
      <c r="P248">
        <f t="shared" si="9"/>
        <v>2.30127784505195</v>
      </c>
      <c r="Q248">
        <f t="shared" si="8"/>
        <v>0.833464553460205</v>
      </c>
      <c r="R248">
        <v>150</v>
      </c>
      <c r="S248" t="s">
        <v>60</v>
      </c>
      <c r="T248" t="s">
        <v>61</v>
      </c>
      <c r="U248" t="s">
        <v>62</v>
      </c>
      <c r="V248">
        <v>1</v>
      </c>
      <c r="W248">
        <v>0</v>
      </c>
      <c r="X248">
        <v>1</v>
      </c>
      <c r="Y248">
        <v>1</v>
      </c>
      <c r="Z248">
        <v>0</v>
      </c>
      <c r="AA248">
        <v>0</v>
      </c>
      <c r="AB248">
        <v>1</v>
      </c>
      <c r="AC248">
        <v>0</v>
      </c>
      <c r="AD248">
        <v>1</v>
      </c>
      <c r="AE248" s="5">
        <v>12.8254166666667</v>
      </c>
      <c r="AF248" s="5">
        <v>4.27882137345679</v>
      </c>
      <c r="AG248" s="5">
        <v>0.653062667189842</v>
      </c>
      <c r="AH248" s="5">
        <v>16.12</v>
      </c>
      <c r="AI248" s="5">
        <v>0.459647294455008</v>
      </c>
      <c r="AJ248" s="5">
        <v>-0.47662745733429</v>
      </c>
      <c r="AK248" s="5">
        <v>0.47662745733429</v>
      </c>
      <c r="AL248" s="5">
        <v>0.459647294455008</v>
      </c>
      <c r="AM248" s="5">
        <v>9.90907137329749</v>
      </c>
      <c r="AN248" s="5">
        <v>-0.449718247791216</v>
      </c>
      <c r="AO248" s="5">
        <v>-1.58</v>
      </c>
      <c r="AP248" s="5">
        <v>39741.8973369129</v>
      </c>
      <c r="AQ248" s="5">
        <v>2.73920148528388</v>
      </c>
      <c r="AR248" s="5">
        <v>0</v>
      </c>
      <c r="AS248" s="5">
        <v>4.79453718407182</v>
      </c>
      <c r="AT248" s="5">
        <v>0</v>
      </c>
      <c r="AU248" s="5">
        <v>0</v>
      </c>
      <c r="AV248" s="5">
        <v>0</v>
      </c>
      <c r="AW248" s="5">
        <v>0</v>
      </c>
      <c r="AX248" s="5">
        <v>5.10652739484071</v>
      </c>
      <c r="AY248" s="5">
        <v>-7.69383775037793</v>
      </c>
      <c r="AZ248" s="5">
        <v>0.875</v>
      </c>
      <c r="BA248" s="5">
        <v>1</v>
      </c>
    </row>
    <row r="249" hidden="1" spans="1:53">
      <c r="A249" t="s">
        <v>53</v>
      </c>
      <c r="B249" t="s">
        <v>80</v>
      </c>
      <c r="C249" t="s">
        <v>55</v>
      </c>
      <c r="D249" s="4" t="s">
        <v>67</v>
      </c>
      <c r="E249">
        <v>0.0234369999999999</v>
      </c>
      <c r="F249">
        <v>6.7</v>
      </c>
      <c r="G249">
        <v>1</v>
      </c>
      <c r="H249">
        <v>17</v>
      </c>
      <c r="I249">
        <v>44</v>
      </c>
      <c r="J249">
        <v>36</v>
      </c>
      <c r="K249">
        <v>20</v>
      </c>
      <c r="L249" t="s">
        <v>57</v>
      </c>
      <c r="M249" t="s">
        <v>58</v>
      </c>
      <c r="N249" t="s">
        <v>86</v>
      </c>
      <c r="O249">
        <v>1.14040025344</v>
      </c>
      <c r="P249">
        <f t="shared" si="9"/>
        <v>48.6581155199046</v>
      </c>
      <c r="Q249">
        <f t="shared" si="8"/>
        <v>3.88481860910657</v>
      </c>
      <c r="R249">
        <v>150</v>
      </c>
      <c r="S249" t="s">
        <v>60</v>
      </c>
      <c r="T249" t="s">
        <v>61</v>
      </c>
      <c r="U249" t="s">
        <v>62</v>
      </c>
      <c r="V249">
        <v>1</v>
      </c>
      <c r="W249">
        <v>0</v>
      </c>
      <c r="X249">
        <v>1</v>
      </c>
      <c r="Y249">
        <v>1</v>
      </c>
      <c r="Z249">
        <v>0</v>
      </c>
      <c r="AA249">
        <v>0</v>
      </c>
      <c r="AB249">
        <v>1</v>
      </c>
      <c r="AC249">
        <v>0</v>
      </c>
      <c r="AD249">
        <v>1</v>
      </c>
      <c r="AE249" s="5">
        <v>13.0371419123205</v>
      </c>
      <c r="AF249" s="5">
        <v>7.66829457707096</v>
      </c>
      <c r="AG249" s="5">
        <v>0.402493807679921</v>
      </c>
      <c r="AH249" s="5">
        <v>16.8965517241379</v>
      </c>
      <c r="AI249" s="5">
        <v>0.459647294440031</v>
      </c>
      <c r="AJ249" s="5">
        <v>-0.280752999575314</v>
      </c>
      <c r="AK249" s="5">
        <v>0.459647294440031</v>
      </c>
      <c r="AL249" s="5">
        <v>0.280752999575314</v>
      </c>
      <c r="AM249" s="5">
        <v>9.90856544965598</v>
      </c>
      <c r="AN249" s="5">
        <v>-0.457885273814649</v>
      </c>
      <c r="AO249" s="5">
        <v>-1.28</v>
      </c>
      <c r="AP249" s="5">
        <v>176558.643253875</v>
      </c>
      <c r="AQ249" s="5">
        <v>3.26474212239717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4.55274987369036</v>
      </c>
      <c r="AY249" s="5">
        <v>-7.88274914441085</v>
      </c>
      <c r="AZ249" s="5">
        <v>1</v>
      </c>
      <c r="BA249" s="5">
        <v>1</v>
      </c>
    </row>
    <row r="250" hidden="1" spans="1:53">
      <c r="A250" t="s">
        <v>53</v>
      </c>
      <c r="B250" t="s">
        <v>81</v>
      </c>
      <c r="C250" t="s">
        <v>55</v>
      </c>
      <c r="D250" s="4" t="s">
        <v>56</v>
      </c>
      <c r="E250">
        <v>0.175781</v>
      </c>
      <c r="F250">
        <v>6.7</v>
      </c>
      <c r="G250">
        <v>1</v>
      </c>
      <c r="H250">
        <v>17</v>
      </c>
      <c r="I250">
        <v>44</v>
      </c>
      <c r="J250">
        <v>36</v>
      </c>
      <c r="K250">
        <v>20</v>
      </c>
      <c r="L250" t="s">
        <v>57</v>
      </c>
      <c r="M250" t="s">
        <v>58</v>
      </c>
      <c r="N250" t="s">
        <v>86</v>
      </c>
      <c r="O250">
        <v>2.69250760554</v>
      </c>
      <c r="P250">
        <f t="shared" si="9"/>
        <v>15.3173983851497</v>
      </c>
      <c r="Q250">
        <f t="shared" si="8"/>
        <v>2.72898933168999</v>
      </c>
      <c r="R250">
        <v>150</v>
      </c>
      <c r="S250" t="s">
        <v>60</v>
      </c>
      <c r="T250" t="s">
        <v>61</v>
      </c>
      <c r="U250" t="s">
        <v>62</v>
      </c>
      <c r="V250">
        <v>1</v>
      </c>
      <c r="W250">
        <v>0</v>
      </c>
      <c r="X250">
        <v>1</v>
      </c>
      <c r="Y250">
        <v>1</v>
      </c>
      <c r="Z250">
        <v>0</v>
      </c>
      <c r="AA250">
        <v>0</v>
      </c>
      <c r="AB250">
        <v>1</v>
      </c>
      <c r="AC250">
        <v>0</v>
      </c>
      <c r="AD250">
        <v>1</v>
      </c>
      <c r="AE250" s="5">
        <v>11.7505787037037</v>
      </c>
      <c r="AF250" s="5">
        <v>3.53256944444444</v>
      </c>
      <c r="AG250" s="5">
        <v>0.712441776552488</v>
      </c>
      <c r="AH250" s="5">
        <v>14.3846153846154</v>
      </c>
      <c r="AI250" s="5">
        <v>0.460094687009651</v>
      </c>
      <c r="AJ250" s="5">
        <v>-0.476625664235965</v>
      </c>
      <c r="AK250" s="5">
        <v>0.476625664235965</v>
      </c>
      <c r="AL250" s="5">
        <v>0.460094687009651</v>
      </c>
      <c r="AM250" s="5">
        <v>10.1473915373546</v>
      </c>
      <c r="AN250" s="5">
        <v>-0.347050241178715</v>
      </c>
      <c r="AO250" s="5">
        <v>-1.02</v>
      </c>
      <c r="AP250" s="5">
        <v>260.658615872357</v>
      </c>
      <c r="AQ250" s="5">
        <v>1.67669845728037</v>
      </c>
      <c r="AR250" s="5">
        <v>0</v>
      </c>
      <c r="AS250" s="5">
        <v>4.79453718407182</v>
      </c>
      <c r="AT250" s="5">
        <v>0</v>
      </c>
      <c r="AU250" s="5">
        <v>0</v>
      </c>
      <c r="AV250" s="5">
        <v>0</v>
      </c>
      <c r="AW250" s="5">
        <v>0</v>
      </c>
      <c r="AX250" s="5">
        <v>5.10652739484071</v>
      </c>
      <c r="AY250" s="5">
        <v>-6.60229166666667</v>
      </c>
      <c r="AZ250" s="5">
        <v>0.75</v>
      </c>
      <c r="BA250" s="5">
        <v>1</v>
      </c>
    </row>
    <row r="251" hidden="1" spans="1:53">
      <c r="A251" t="s">
        <v>53</v>
      </c>
      <c r="B251" t="s">
        <v>81</v>
      </c>
      <c r="C251" t="s">
        <v>55</v>
      </c>
      <c r="D251" s="4" t="s">
        <v>63</v>
      </c>
      <c r="E251">
        <v>0.269532</v>
      </c>
      <c r="F251">
        <v>6.7</v>
      </c>
      <c r="G251">
        <v>1</v>
      </c>
      <c r="H251">
        <v>17</v>
      </c>
      <c r="I251">
        <v>44</v>
      </c>
      <c r="J251">
        <v>36</v>
      </c>
      <c r="K251">
        <v>20</v>
      </c>
      <c r="L251" t="s">
        <v>57</v>
      </c>
      <c r="M251" t="s">
        <v>58</v>
      </c>
      <c r="N251" t="s">
        <v>86</v>
      </c>
      <c r="O251">
        <v>0.46170138732</v>
      </c>
      <c r="P251">
        <f t="shared" si="9"/>
        <v>1.71297429366457</v>
      </c>
      <c r="Q251">
        <f t="shared" si="8"/>
        <v>0.538231212612088</v>
      </c>
      <c r="R251">
        <v>150</v>
      </c>
      <c r="S251" t="s">
        <v>60</v>
      </c>
      <c r="T251" t="s">
        <v>61</v>
      </c>
      <c r="U251" t="s">
        <v>62</v>
      </c>
      <c r="V251">
        <v>1</v>
      </c>
      <c r="W251">
        <v>0</v>
      </c>
      <c r="X251">
        <v>1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1</v>
      </c>
      <c r="AE251" s="5">
        <v>12.2120833333333</v>
      </c>
      <c r="AF251" s="5">
        <v>7.00097222222222</v>
      </c>
      <c r="AG251" s="5">
        <v>0.642528075697275</v>
      </c>
      <c r="AH251" s="5">
        <v>16.1176470588235</v>
      </c>
      <c r="AI251" s="5">
        <v>0.459694901747447</v>
      </c>
      <c r="AJ251" s="5">
        <v>-0.280752981483328</v>
      </c>
      <c r="AK251" s="5">
        <v>0.459694901747447</v>
      </c>
      <c r="AL251" s="5">
        <v>0.280752981483328</v>
      </c>
      <c r="AM251" s="5">
        <v>10.1452721658031</v>
      </c>
      <c r="AN251" s="5">
        <v>-0.382289160206052</v>
      </c>
      <c r="AO251" s="5">
        <v>-0.72</v>
      </c>
      <c r="AP251" s="5">
        <v>1212.20967645111</v>
      </c>
      <c r="AQ251" s="5">
        <v>2.16502218725737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4.55274987369036</v>
      </c>
      <c r="AY251" s="5">
        <v>-7.13430555555556</v>
      </c>
      <c r="AZ251" s="5">
        <v>1</v>
      </c>
      <c r="BA251" s="5">
        <v>1</v>
      </c>
    </row>
    <row r="252" hidden="1" spans="1:53">
      <c r="A252" t="s">
        <v>53</v>
      </c>
      <c r="B252" t="s">
        <v>81</v>
      </c>
      <c r="C252" t="s">
        <v>55</v>
      </c>
      <c r="D252" s="4" t="s">
        <v>65</v>
      </c>
      <c r="E252">
        <v>0.0234380000000001</v>
      </c>
      <c r="F252">
        <v>6.7</v>
      </c>
      <c r="G252">
        <v>1</v>
      </c>
      <c r="H252">
        <v>17</v>
      </c>
      <c r="I252">
        <v>44</v>
      </c>
      <c r="J252">
        <v>36</v>
      </c>
      <c r="K252">
        <v>20</v>
      </c>
      <c r="L252" t="s">
        <v>57</v>
      </c>
      <c r="M252" t="s">
        <v>58</v>
      </c>
      <c r="N252" t="s">
        <v>86</v>
      </c>
      <c r="O252">
        <v>0.1539974355</v>
      </c>
      <c r="P252">
        <f t="shared" si="9"/>
        <v>6.57041707910228</v>
      </c>
      <c r="Q252">
        <f t="shared" si="8"/>
        <v>1.88257731284116</v>
      </c>
      <c r="R252">
        <v>150</v>
      </c>
      <c r="S252" t="s">
        <v>60</v>
      </c>
      <c r="T252" t="s">
        <v>61</v>
      </c>
      <c r="U252" t="s">
        <v>62</v>
      </c>
      <c r="V252">
        <v>1</v>
      </c>
      <c r="W252">
        <v>0</v>
      </c>
      <c r="X252">
        <v>1</v>
      </c>
      <c r="Y252">
        <v>1</v>
      </c>
      <c r="Z252">
        <v>0</v>
      </c>
      <c r="AA252">
        <v>0</v>
      </c>
      <c r="AB252">
        <v>1</v>
      </c>
      <c r="AC252">
        <v>0</v>
      </c>
      <c r="AD252">
        <v>1</v>
      </c>
      <c r="AE252" s="5">
        <v>12.6956944444444</v>
      </c>
      <c r="AF252" s="5">
        <v>7.51923752834467</v>
      </c>
      <c r="AG252" s="5">
        <v>0.567423483996869</v>
      </c>
      <c r="AH252" s="5">
        <v>16.6086956521739</v>
      </c>
      <c r="AI252" s="5">
        <v>0.459647303367286</v>
      </c>
      <c r="AJ252" s="5">
        <v>-0.280752999575136</v>
      </c>
      <c r="AK252" s="5">
        <v>0.459647303367286</v>
      </c>
      <c r="AL252" s="5">
        <v>0.280752999575136</v>
      </c>
      <c r="AM252" s="5">
        <v>9.97962409166519</v>
      </c>
      <c r="AN252" s="5">
        <v>-0.433260944725331</v>
      </c>
      <c r="AO252" s="5">
        <v>-1</v>
      </c>
      <c r="AP252" s="5">
        <v>14934.5346948423</v>
      </c>
      <c r="AQ252" s="5">
        <v>2.69882520469918</v>
      </c>
      <c r="AR252" s="5">
        <v>0</v>
      </c>
      <c r="AS252" s="5">
        <v>0</v>
      </c>
      <c r="AT252" s="5">
        <v>0</v>
      </c>
      <c r="AU252" s="5">
        <v>0</v>
      </c>
      <c r="AV252" s="5">
        <v>0</v>
      </c>
      <c r="AW252" s="5">
        <v>0</v>
      </c>
      <c r="AX252" s="5">
        <v>4.55274987369036</v>
      </c>
      <c r="AY252" s="5">
        <v>-7.5938637329932</v>
      </c>
      <c r="AZ252" s="5">
        <v>1</v>
      </c>
      <c r="BA252" s="5">
        <v>1</v>
      </c>
    </row>
    <row r="253" hidden="1" spans="1:53">
      <c r="A253" t="s">
        <v>53</v>
      </c>
      <c r="B253" t="s">
        <v>81</v>
      </c>
      <c r="C253" t="s">
        <v>55</v>
      </c>
      <c r="D253" s="4" t="s">
        <v>66</v>
      </c>
      <c r="E253">
        <v>0.562496</v>
      </c>
      <c r="F253">
        <v>6.7</v>
      </c>
      <c r="G253">
        <v>1</v>
      </c>
      <c r="H253">
        <v>17</v>
      </c>
      <c r="I253">
        <v>44</v>
      </c>
      <c r="J253">
        <v>36</v>
      </c>
      <c r="K253">
        <v>20</v>
      </c>
      <c r="L253" t="s">
        <v>57</v>
      </c>
      <c r="M253" t="s">
        <v>58</v>
      </c>
      <c r="N253" t="s">
        <v>86</v>
      </c>
      <c r="O253">
        <v>0.6923244051</v>
      </c>
      <c r="P253">
        <f t="shared" si="9"/>
        <v>1.23080769481027</v>
      </c>
      <c r="Q253">
        <f t="shared" si="8"/>
        <v>0.207670616323258</v>
      </c>
      <c r="R253">
        <v>150</v>
      </c>
      <c r="S253" t="s">
        <v>60</v>
      </c>
      <c r="T253" t="s">
        <v>61</v>
      </c>
      <c r="U253" t="s">
        <v>62</v>
      </c>
      <c r="V253">
        <v>1</v>
      </c>
      <c r="W253">
        <v>0</v>
      </c>
      <c r="X253">
        <v>1</v>
      </c>
      <c r="Y253">
        <v>1</v>
      </c>
      <c r="Z253">
        <v>0</v>
      </c>
      <c r="AA253">
        <v>0</v>
      </c>
      <c r="AB253">
        <v>1</v>
      </c>
      <c r="AC253">
        <v>0</v>
      </c>
      <c r="AD253">
        <v>1</v>
      </c>
      <c r="AE253" s="5">
        <v>12.8254166666667</v>
      </c>
      <c r="AF253" s="5">
        <v>4.27882137345679</v>
      </c>
      <c r="AG253" s="5">
        <v>0.653062667189842</v>
      </c>
      <c r="AH253" s="5">
        <v>16.12</v>
      </c>
      <c r="AI253" s="5">
        <v>0.459647294455008</v>
      </c>
      <c r="AJ253" s="5">
        <v>-0.47662745733429</v>
      </c>
      <c r="AK253" s="5">
        <v>0.47662745733429</v>
      </c>
      <c r="AL253" s="5">
        <v>0.459647294455008</v>
      </c>
      <c r="AM253" s="5">
        <v>9.90907137329749</v>
      </c>
      <c r="AN253" s="5">
        <v>-0.449718247791216</v>
      </c>
      <c r="AO253" s="5">
        <v>-1.58</v>
      </c>
      <c r="AP253" s="5">
        <v>39741.8973369129</v>
      </c>
      <c r="AQ253" s="5">
        <v>2.73920148528388</v>
      </c>
      <c r="AR253" s="5">
        <v>0</v>
      </c>
      <c r="AS253" s="5">
        <v>4.79453718407182</v>
      </c>
      <c r="AT253" s="5">
        <v>0</v>
      </c>
      <c r="AU253" s="5">
        <v>0</v>
      </c>
      <c r="AV253" s="5">
        <v>0</v>
      </c>
      <c r="AW253" s="5">
        <v>0</v>
      </c>
      <c r="AX253" s="5">
        <v>5.10652739484071</v>
      </c>
      <c r="AY253" s="5">
        <v>-7.69383775037793</v>
      </c>
      <c r="AZ253" s="5">
        <v>0.875</v>
      </c>
      <c r="BA253" s="5">
        <v>1</v>
      </c>
    </row>
    <row r="254" hidden="1" spans="1:53">
      <c r="A254" t="s">
        <v>53</v>
      </c>
      <c r="B254" t="s">
        <v>81</v>
      </c>
      <c r="C254" t="s">
        <v>55</v>
      </c>
      <c r="D254" s="4" t="s">
        <v>67</v>
      </c>
      <c r="E254">
        <v>0.0234400000000001</v>
      </c>
      <c r="F254">
        <v>6.7</v>
      </c>
      <c r="G254">
        <v>1</v>
      </c>
      <c r="H254">
        <v>17</v>
      </c>
      <c r="I254">
        <v>44</v>
      </c>
      <c r="J254">
        <v>36</v>
      </c>
      <c r="K254">
        <v>20</v>
      </c>
      <c r="L254" t="s">
        <v>57</v>
      </c>
      <c r="M254" t="s">
        <v>58</v>
      </c>
      <c r="N254" t="s">
        <v>86</v>
      </c>
      <c r="O254">
        <v>1.11568137963</v>
      </c>
      <c r="P254">
        <f t="shared" si="9"/>
        <v>47.5973284825083</v>
      </c>
      <c r="Q254">
        <f t="shared" si="8"/>
        <v>3.86277663534529</v>
      </c>
      <c r="R254">
        <v>150</v>
      </c>
      <c r="S254" t="s">
        <v>60</v>
      </c>
      <c r="T254" t="s">
        <v>61</v>
      </c>
      <c r="U254" t="s">
        <v>62</v>
      </c>
      <c r="V254">
        <v>1</v>
      </c>
      <c r="W254">
        <v>0</v>
      </c>
      <c r="X254">
        <v>1</v>
      </c>
      <c r="Y254">
        <v>1</v>
      </c>
      <c r="Z254">
        <v>0</v>
      </c>
      <c r="AA254">
        <v>0</v>
      </c>
      <c r="AB254">
        <v>1</v>
      </c>
      <c r="AC254">
        <v>0</v>
      </c>
      <c r="AD254">
        <v>1</v>
      </c>
      <c r="AE254" s="5">
        <v>13.0371419123205</v>
      </c>
      <c r="AF254" s="5">
        <v>7.66829457707096</v>
      </c>
      <c r="AG254" s="5">
        <v>0.402493807679921</v>
      </c>
      <c r="AH254" s="5">
        <v>16.8965517241379</v>
      </c>
      <c r="AI254" s="5">
        <v>0.459647294440031</v>
      </c>
      <c r="AJ254" s="5">
        <v>-0.280752999575314</v>
      </c>
      <c r="AK254" s="5">
        <v>0.459647294440031</v>
      </c>
      <c r="AL254" s="5">
        <v>0.280752999575314</v>
      </c>
      <c r="AM254" s="5">
        <v>9.90856544965598</v>
      </c>
      <c r="AN254" s="5">
        <v>-0.457885273814649</v>
      </c>
      <c r="AO254" s="5">
        <v>-1.28</v>
      </c>
      <c r="AP254" s="5">
        <v>176558.643253875</v>
      </c>
      <c r="AQ254" s="5">
        <v>3.26474212239717</v>
      </c>
      <c r="AR254" s="5">
        <v>0</v>
      </c>
      <c r="AS254" s="5">
        <v>0</v>
      </c>
      <c r="AT254" s="5">
        <v>0</v>
      </c>
      <c r="AU254" s="5">
        <v>0</v>
      </c>
      <c r="AV254" s="5">
        <v>0</v>
      </c>
      <c r="AW254" s="5">
        <v>0</v>
      </c>
      <c r="AX254" s="5">
        <v>4.55274987369036</v>
      </c>
      <c r="AY254" s="5">
        <v>-7.88274914441085</v>
      </c>
      <c r="AZ254" s="5">
        <v>1</v>
      </c>
      <c r="BA254" s="5">
        <v>1</v>
      </c>
    </row>
    <row r="255" hidden="1" spans="1:53">
      <c r="A255" t="s">
        <v>53</v>
      </c>
      <c r="B255" t="s">
        <v>82</v>
      </c>
      <c r="C255" t="s">
        <v>55</v>
      </c>
      <c r="D255" s="4" t="s">
        <v>56</v>
      </c>
      <c r="E255">
        <v>0.410156</v>
      </c>
      <c r="F255">
        <v>6.7</v>
      </c>
      <c r="G255">
        <v>1</v>
      </c>
      <c r="H255">
        <v>17</v>
      </c>
      <c r="I255">
        <v>44</v>
      </c>
      <c r="J255">
        <v>36</v>
      </c>
      <c r="K255">
        <v>20</v>
      </c>
      <c r="L255" t="s">
        <v>57</v>
      </c>
      <c r="M255" t="s">
        <v>58</v>
      </c>
      <c r="N255" t="s">
        <v>86</v>
      </c>
      <c r="O255">
        <v>1.42888807875</v>
      </c>
      <c r="P255">
        <f t="shared" si="9"/>
        <v>3.48376734401057</v>
      </c>
      <c r="Q255">
        <f t="shared" si="8"/>
        <v>1.2481142783479</v>
      </c>
      <c r="R255">
        <v>150</v>
      </c>
      <c r="S255" t="s">
        <v>60</v>
      </c>
      <c r="T255" t="s">
        <v>61</v>
      </c>
      <c r="U255" t="s">
        <v>62</v>
      </c>
      <c r="V255">
        <v>1</v>
      </c>
      <c r="W255">
        <v>0</v>
      </c>
      <c r="X255">
        <v>1</v>
      </c>
      <c r="Y255">
        <v>1</v>
      </c>
      <c r="Z255">
        <v>0</v>
      </c>
      <c r="AA255">
        <v>0</v>
      </c>
      <c r="AB255">
        <v>1</v>
      </c>
      <c r="AC255">
        <v>0</v>
      </c>
      <c r="AD255">
        <v>1</v>
      </c>
      <c r="AE255" s="5">
        <v>11.7505787037037</v>
      </c>
      <c r="AF255" s="5">
        <v>3.53256944444444</v>
      </c>
      <c r="AG255" s="5">
        <v>0.712441776552488</v>
      </c>
      <c r="AH255" s="5">
        <v>14.3846153846154</v>
      </c>
      <c r="AI255" s="5">
        <v>0.460094687009651</v>
      </c>
      <c r="AJ255" s="5">
        <v>-0.476625664235965</v>
      </c>
      <c r="AK255" s="5">
        <v>0.476625664235965</v>
      </c>
      <c r="AL255" s="5">
        <v>0.460094687009651</v>
      </c>
      <c r="AM255" s="5">
        <v>10.1473915373546</v>
      </c>
      <c r="AN255" s="5">
        <v>-0.347050241178715</v>
      </c>
      <c r="AO255" s="5">
        <v>-1.02</v>
      </c>
      <c r="AP255" s="5">
        <v>260.658615872357</v>
      </c>
      <c r="AQ255" s="5">
        <v>1.67669845728037</v>
      </c>
      <c r="AR255" s="5">
        <v>0</v>
      </c>
      <c r="AS255" s="5">
        <v>4.79453718407182</v>
      </c>
      <c r="AT255" s="5">
        <v>0</v>
      </c>
      <c r="AU255" s="5">
        <v>0</v>
      </c>
      <c r="AV255" s="5">
        <v>0</v>
      </c>
      <c r="AW255" s="5">
        <v>0</v>
      </c>
      <c r="AX255" s="5">
        <v>5.10652739484071</v>
      </c>
      <c r="AY255" s="5">
        <v>-6.60229166666667</v>
      </c>
      <c r="AZ255" s="5">
        <v>0.75</v>
      </c>
      <c r="BA255" s="5">
        <v>1</v>
      </c>
    </row>
    <row r="256" hidden="1" spans="1:53">
      <c r="A256" t="s">
        <v>53</v>
      </c>
      <c r="B256" t="s">
        <v>82</v>
      </c>
      <c r="C256" t="s">
        <v>55</v>
      </c>
      <c r="D256" s="4" t="s">
        <v>63</v>
      </c>
      <c r="E256">
        <v>0.152344</v>
      </c>
      <c r="F256">
        <v>6.7</v>
      </c>
      <c r="G256">
        <v>1</v>
      </c>
      <c r="H256">
        <v>17</v>
      </c>
      <c r="I256">
        <v>44</v>
      </c>
      <c r="J256">
        <v>36</v>
      </c>
      <c r="K256">
        <v>20</v>
      </c>
      <c r="L256" t="s">
        <v>57</v>
      </c>
      <c r="M256" t="s">
        <v>58</v>
      </c>
      <c r="N256" t="s">
        <v>86</v>
      </c>
      <c r="O256">
        <v>0.208799415</v>
      </c>
      <c r="P256">
        <f t="shared" si="9"/>
        <v>1.37057852623011</v>
      </c>
      <c r="Q256">
        <f t="shared" si="8"/>
        <v>0.315232932623905</v>
      </c>
      <c r="R256">
        <v>150</v>
      </c>
      <c r="S256" t="s">
        <v>60</v>
      </c>
      <c r="T256" t="s">
        <v>61</v>
      </c>
      <c r="U256" t="s">
        <v>62</v>
      </c>
      <c r="V256">
        <v>1</v>
      </c>
      <c r="W256">
        <v>0</v>
      </c>
      <c r="X256">
        <v>1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1</v>
      </c>
      <c r="AE256" s="5">
        <v>12.2120833333333</v>
      </c>
      <c r="AF256" s="5">
        <v>7.00097222222222</v>
      </c>
      <c r="AG256" s="5">
        <v>0.642528075697275</v>
      </c>
      <c r="AH256" s="5">
        <v>16.1176470588235</v>
      </c>
      <c r="AI256" s="5">
        <v>0.459694901747447</v>
      </c>
      <c r="AJ256" s="5">
        <v>-0.280752981483328</v>
      </c>
      <c r="AK256" s="5">
        <v>0.459694901747447</v>
      </c>
      <c r="AL256" s="5">
        <v>0.280752981483328</v>
      </c>
      <c r="AM256" s="5">
        <v>10.1452721658031</v>
      </c>
      <c r="AN256" s="5">
        <v>-0.382289160206052</v>
      </c>
      <c r="AO256" s="5">
        <v>-0.72</v>
      </c>
      <c r="AP256" s="5">
        <v>1212.20967645111</v>
      </c>
      <c r="AQ256" s="5">
        <v>2.16502218725737</v>
      </c>
      <c r="AR256" s="5">
        <v>0</v>
      </c>
      <c r="AS256" s="5">
        <v>0</v>
      </c>
      <c r="AT256" s="5">
        <v>0</v>
      </c>
      <c r="AU256" s="5">
        <v>0</v>
      </c>
      <c r="AV256" s="5">
        <v>0</v>
      </c>
      <c r="AW256" s="5">
        <v>0</v>
      </c>
      <c r="AX256" s="5">
        <v>4.55274987369036</v>
      </c>
      <c r="AY256" s="5">
        <v>-7.13430555555556</v>
      </c>
      <c r="AZ256" s="5">
        <v>1</v>
      </c>
      <c r="BA256" s="5">
        <v>1</v>
      </c>
    </row>
    <row r="257" hidden="1" spans="1:53">
      <c r="A257" t="s">
        <v>53</v>
      </c>
      <c r="B257" t="s">
        <v>82</v>
      </c>
      <c r="C257" t="s">
        <v>55</v>
      </c>
      <c r="D257" s="4" t="s">
        <v>65</v>
      </c>
      <c r="E257">
        <v>0.035157</v>
      </c>
      <c r="F257">
        <v>6.7</v>
      </c>
      <c r="G257">
        <v>1</v>
      </c>
      <c r="H257">
        <v>17</v>
      </c>
      <c r="I257">
        <v>44</v>
      </c>
      <c r="J257">
        <v>36</v>
      </c>
      <c r="K257">
        <v>20</v>
      </c>
      <c r="L257" t="s">
        <v>57</v>
      </c>
      <c r="M257" t="s">
        <v>58</v>
      </c>
      <c r="N257" t="s">
        <v>86</v>
      </c>
      <c r="O257">
        <v>0.15800974125</v>
      </c>
      <c r="P257">
        <f t="shared" si="9"/>
        <v>4.49440342606024</v>
      </c>
      <c r="Q257">
        <f t="shared" si="8"/>
        <v>1.50283293966291</v>
      </c>
      <c r="R257">
        <v>150</v>
      </c>
      <c r="S257" t="s">
        <v>60</v>
      </c>
      <c r="T257" t="s">
        <v>61</v>
      </c>
      <c r="U257" t="s">
        <v>62</v>
      </c>
      <c r="V257">
        <v>1</v>
      </c>
      <c r="W257">
        <v>0</v>
      </c>
      <c r="X257">
        <v>1</v>
      </c>
      <c r="Y257">
        <v>1</v>
      </c>
      <c r="Z257">
        <v>0</v>
      </c>
      <c r="AA257">
        <v>0</v>
      </c>
      <c r="AB257">
        <v>1</v>
      </c>
      <c r="AC257">
        <v>0</v>
      </c>
      <c r="AD257">
        <v>1</v>
      </c>
      <c r="AE257" s="5">
        <v>12.6956944444444</v>
      </c>
      <c r="AF257" s="5">
        <v>7.51923752834467</v>
      </c>
      <c r="AG257" s="5">
        <v>0.567423483996869</v>
      </c>
      <c r="AH257" s="5">
        <v>16.6086956521739</v>
      </c>
      <c r="AI257" s="5">
        <v>0.459647303367286</v>
      </c>
      <c r="AJ257" s="5">
        <v>-0.280752999575136</v>
      </c>
      <c r="AK257" s="5">
        <v>0.459647303367286</v>
      </c>
      <c r="AL257" s="5">
        <v>0.280752999575136</v>
      </c>
      <c r="AM257" s="5">
        <v>9.97962409166519</v>
      </c>
      <c r="AN257" s="5">
        <v>-0.433260944725331</v>
      </c>
      <c r="AO257" s="5">
        <v>-1</v>
      </c>
      <c r="AP257" s="5">
        <v>14934.5346948423</v>
      </c>
      <c r="AQ257" s="5">
        <v>2.69882520469918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4.55274987369036</v>
      </c>
      <c r="AY257" s="5">
        <v>-7.5938637329932</v>
      </c>
      <c r="AZ257" s="5">
        <v>1</v>
      </c>
      <c r="BA257" s="5">
        <v>1</v>
      </c>
    </row>
    <row r="258" hidden="1" spans="1:53">
      <c r="A258" t="s">
        <v>53</v>
      </c>
      <c r="B258" t="s">
        <v>82</v>
      </c>
      <c r="C258" t="s">
        <v>55</v>
      </c>
      <c r="D258" s="4" t="s">
        <v>66</v>
      </c>
      <c r="E258">
        <v>0.316406</v>
      </c>
      <c r="F258">
        <v>6.7</v>
      </c>
      <c r="G258">
        <v>1</v>
      </c>
      <c r="H258">
        <v>17</v>
      </c>
      <c r="I258">
        <v>44</v>
      </c>
      <c r="J258">
        <v>36</v>
      </c>
      <c r="K258">
        <v>20</v>
      </c>
      <c r="L258" t="s">
        <v>57</v>
      </c>
      <c r="M258" t="s">
        <v>58</v>
      </c>
      <c r="N258" t="s">
        <v>86</v>
      </c>
      <c r="O258">
        <v>0.70534977</v>
      </c>
      <c r="P258">
        <f t="shared" si="9"/>
        <v>2.22925535546102</v>
      </c>
      <c r="Q258">
        <f t="shared" si="8"/>
        <v>0.801667608389962</v>
      </c>
      <c r="R258">
        <v>150</v>
      </c>
      <c r="S258" t="s">
        <v>60</v>
      </c>
      <c r="T258" t="s">
        <v>61</v>
      </c>
      <c r="U258" t="s">
        <v>62</v>
      </c>
      <c r="V258">
        <v>1</v>
      </c>
      <c r="W258">
        <v>0</v>
      </c>
      <c r="X258">
        <v>1</v>
      </c>
      <c r="Y258">
        <v>1</v>
      </c>
      <c r="Z258">
        <v>0</v>
      </c>
      <c r="AA258">
        <v>0</v>
      </c>
      <c r="AB258">
        <v>1</v>
      </c>
      <c r="AC258">
        <v>0</v>
      </c>
      <c r="AD258">
        <v>1</v>
      </c>
      <c r="AE258" s="5">
        <v>12.8254166666667</v>
      </c>
      <c r="AF258" s="5">
        <v>4.27882137345679</v>
      </c>
      <c r="AG258" s="5">
        <v>0.653062667189842</v>
      </c>
      <c r="AH258" s="5">
        <v>16.12</v>
      </c>
      <c r="AI258" s="5">
        <v>0.459647294455008</v>
      </c>
      <c r="AJ258" s="5">
        <v>-0.47662745733429</v>
      </c>
      <c r="AK258" s="5">
        <v>0.47662745733429</v>
      </c>
      <c r="AL258" s="5">
        <v>0.459647294455008</v>
      </c>
      <c r="AM258" s="5">
        <v>9.90907137329749</v>
      </c>
      <c r="AN258" s="5">
        <v>-0.449718247791216</v>
      </c>
      <c r="AO258" s="5">
        <v>-1.58</v>
      </c>
      <c r="AP258" s="5">
        <v>39741.8973369129</v>
      </c>
      <c r="AQ258" s="5">
        <v>2.73920148528388</v>
      </c>
      <c r="AR258" s="5">
        <v>0</v>
      </c>
      <c r="AS258" s="5">
        <v>4.79453718407182</v>
      </c>
      <c r="AT258" s="5">
        <v>0</v>
      </c>
      <c r="AU258" s="5">
        <v>0</v>
      </c>
      <c r="AV258" s="5">
        <v>0</v>
      </c>
      <c r="AW258" s="5">
        <v>0</v>
      </c>
      <c r="AX258" s="5">
        <v>5.10652739484071</v>
      </c>
      <c r="AY258" s="5">
        <v>-7.69383775037793</v>
      </c>
      <c r="AZ258" s="5">
        <v>0.875</v>
      </c>
      <c r="BA258" s="5">
        <v>1</v>
      </c>
    </row>
    <row r="259" hidden="1" spans="1:53">
      <c r="A259" t="s">
        <v>53</v>
      </c>
      <c r="B259" t="s">
        <v>82</v>
      </c>
      <c r="C259" t="s">
        <v>55</v>
      </c>
      <c r="D259" s="4" t="s">
        <v>67</v>
      </c>
      <c r="E259">
        <v>0.035156</v>
      </c>
      <c r="F259">
        <v>6.7</v>
      </c>
      <c r="G259">
        <v>1</v>
      </c>
      <c r="H259">
        <v>17</v>
      </c>
      <c r="I259">
        <v>44</v>
      </c>
      <c r="J259">
        <v>36</v>
      </c>
      <c r="K259">
        <v>20</v>
      </c>
      <c r="L259" t="s">
        <v>57</v>
      </c>
      <c r="M259" t="s">
        <v>58</v>
      </c>
      <c r="N259" t="s">
        <v>86</v>
      </c>
      <c r="O259">
        <v>1.08364911</v>
      </c>
      <c r="P259">
        <f t="shared" si="9"/>
        <v>30.82401609967</v>
      </c>
      <c r="Q259">
        <f t="shared" ref="Q259:Q322" si="10">LN(P259)</f>
        <v>3.42829412963328</v>
      </c>
      <c r="R259">
        <v>150</v>
      </c>
      <c r="S259" t="s">
        <v>60</v>
      </c>
      <c r="T259" t="s">
        <v>61</v>
      </c>
      <c r="U259" t="s">
        <v>62</v>
      </c>
      <c r="V259">
        <v>1</v>
      </c>
      <c r="W259">
        <v>0</v>
      </c>
      <c r="X259">
        <v>1</v>
      </c>
      <c r="Y259">
        <v>1</v>
      </c>
      <c r="Z259">
        <v>0</v>
      </c>
      <c r="AA259">
        <v>0</v>
      </c>
      <c r="AB259">
        <v>1</v>
      </c>
      <c r="AC259">
        <v>0</v>
      </c>
      <c r="AD259">
        <v>1</v>
      </c>
      <c r="AE259" s="5">
        <v>13.0371419123205</v>
      </c>
      <c r="AF259" s="5">
        <v>7.66829457707096</v>
      </c>
      <c r="AG259" s="5">
        <v>0.402493807679921</v>
      </c>
      <c r="AH259" s="5">
        <v>16.8965517241379</v>
      </c>
      <c r="AI259" s="5">
        <v>0.459647294440031</v>
      </c>
      <c r="AJ259" s="5">
        <v>-0.280752999575314</v>
      </c>
      <c r="AK259" s="5">
        <v>0.459647294440031</v>
      </c>
      <c r="AL259" s="5">
        <v>0.280752999575314</v>
      </c>
      <c r="AM259" s="5">
        <v>9.90856544965598</v>
      </c>
      <c r="AN259" s="5">
        <v>-0.457885273814649</v>
      </c>
      <c r="AO259" s="5">
        <v>-1.28</v>
      </c>
      <c r="AP259" s="5">
        <v>176558.643253875</v>
      </c>
      <c r="AQ259" s="5">
        <v>3.26474212239717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4.55274987369036</v>
      </c>
      <c r="AY259" s="5">
        <v>-7.88274914441085</v>
      </c>
      <c r="AZ259" s="5">
        <v>1</v>
      </c>
      <c r="BA259" s="5">
        <v>1</v>
      </c>
    </row>
    <row r="260" hidden="1" spans="1:53">
      <c r="A260" t="s">
        <v>53</v>
      </c>
      <c r="B260" t="s">
        <v>83</v>
      </c>
      <c r="C260" t="s">
        <v>55</v>
      </c>
      <c r="D260" s="4" t="s">
        <v>56</v>
      </c>
      <c r="E260">
        <v>0.269531</v>
      </c>
      <c r="F260">
        <v>6.7</v>
      </c>
      <c r="G260">
        <v>1</v>
      </c>
      <c r="H260">
        <v>17</v>
      </c>
      <c r="I260">
        <v>44</v>
      </c>
      <c r="J260">
        <v>36</v>
      </c>
      <c r="K260">
        <v>20</v>
      </c>
      <c r="L260" t="s">
        <v>57</v>
      </c>
      <c r="M260" t="s">
        <v>58</v>
      </c>
      <c r="N260" t="s">
        <v>86</v>
      </c>
      <c r="O260">
        <v>3.80579464536</v>
      </c>
      <c r="P260">
        <f t="shared" si="9"/>
        <v>14.1200627955968</v>
      </c>
      <c r="Q260">
        <f t="shared" si="10"/>
        <v>2.64759667933543</v>
      </c>
      <c r="R260">
        <v>150</v>
      </c>
      <c r="S260" t="s">
        <v>60</v>
      </c>
      <c r="T260" t="s">
        <v>61</v>
      </c>
      <c r="U260" t="s">
        <v>62</v>
      </c>
      <c r="V260">
        <v>1</v>
      </c>
      <c r="W260">
        <v>0</v>
      </c>
      <c r="X260">
        <v>1</v>
      </c>
      <c r="Y260">
        <v>1</v>
      </c>
      <c r="Z260">
        <v>0</v>
      </c>
      <c r="AA260">
        <v>0</v>
      </c>
      <c r="AB260">
        <v>1</v>
      </c>
      <c r="AC260">
        <v>0</v>
      </c>
      <c r="AD260">
        <v>1</v>
      </c>
      <c r="AE260" s="5">
        <v>11.7505787037037</v>
      </c>
      <c r="AF260" s="5">
        <v>3.53256944444444</v>
      </c>
      <c r="AG260" s="5">
        <v>0.712441776552488</v>
      </c>
      <c r="AH260" s="5">
        <v>14.3846153846154</v>
      </c>
      <c r="AI260" s="5">
        <v>0.460094687009651</v>
      </c>
      <c r="AJ260" s="5">
        <v>-0.476625664235965</v>
      </c>
      <c r="AK260" s="5">
        <v>0.476625664235965</v>
      </c>
      <c r="AL260" s="5">
        <v>0.460094687009651</v>
      </c>
      <c r="AM260" s="5">
        <v>10.1473915373546</v>
      </c>
      <c r="AN260" s="5">
        <v>-0.347050241178715</v>
      </c>
      <c r="AO260" s="5">
        <v>-1.02</v>
      </c>
      <c r="AP260" s="5">
        <v>260.658615872357</v>
      </c>
      <c r="AQ260" s="5">
        <v>1.67669845728037</v>
      </c>
      <c r="AR260" s="5">
        <v>0</v>
      </c>
      <c r="AS260" s="5">
        <v>4.79453718407182</v>
      </c>
      <c r="AT260" s="5">
        <v>0</v>
      </c>
      <c r="AU260" s="5">
        <v>0</v>
      </c>
      <c r="AV260" s="5">
        <v>0</v>
      </c>
      <c r="AW260" s="5">
        <v>0</v>
      </c>
      <c r="AX260" s="5">
        <v>5.10652739484071</v>
      </c>
      <c r="AY260" s="5">
        <v>-6.60229166666667</v>
      </c>
      <c r="AZ260" s="5">
        <v>0.75</v>
      </c>
      <c r="BA260" s="5">
        <v>1</v>
      </c>
    </row>
    <row r="261" hidden="1" spans="1:53">
      <c r="A261" t="s">
        <v>53</v>
      </c>
      <c r="B261" t="s">
        <v>83</v>
      </c>
      <c r="C261" t="s">
        <v>55</v>
      </c>
      <c r="D261" s="4" t="s">
        <v>63</v>
      </c>
      <c r="E261">
        <v>0.082032</v>
      </c>
      <c r="F261">
        <v>6.7</v>
      </c>
      <c r="G261">
        <v>1</v>
      </c>
      <c r="H261">
        <v>17</v>
      </c>
      <c r="I261">
        <v>44</v>
      </c>
      <c r="J261">
        <v>36</v>
      </c>
      <c r="K261">
        <v>20</v>
      </c>
      <c r="L261" t="s">
        <v>57</v>
      </c>
      <c r="M261" t="s">
        <v>58</v>
      </c>
      <c r="N261" t="s">
        <v>86</v>
      </c>
      <c r="O261">
        <v>0.25016222614</v>
      </c>
      <c r="P261">
        <f t="shared" si="9"/>
        <v>3.04956877974449</v>
      </c>
      <c r="Q261">
        <f t="shared" si="10"/>
        <v>1.11500019693337</v>
      </c>
      <c r="R261">
        <v>150</v>
      </c>
      <c r="S261" t="s">
        <v>60</v>
      </c>
      <c r="T261" t="s">
        <v>61</v>
      </c>
      <c r="U261" t="s">
        <v>62</v>
      </c>
      <c r="V261">
        <v>1</v>
      </c>
      <c r="W261">
        <v>0</v>
      </c>
      <c r="X261">
        <v>1</v>
      </c>
      <c r="Y261">
        <v>1</v>
      </c>
      <c r="Z261">
        <v>0</v>
      </c>
      <c r="AA261">
        <v>0</v>
      </c>
      <c r="AB261">
        <v>1</v>
      </c>
      <c r="AC261">
        <v>0</v>
      </c>
      <c r="AD261">
        <v>1</v>
      </c>
      <c r="AE261" s="5">
        <v>12.2120833333333</v>
      </c>
      <c r="AF261" s="5">
        <v>7.00097222222222</v>
      </c>
      <c r="AG261" s="5">
        <v>0.642528075697275</v>
      </c>
      <c r="AH261" s="5">
        <v>16.1176470588235</v>
      </c>
      <c r="AI261" s="5">
        <v>0.459694901747447</v>
      </c>
      <c r="AJ261" s="5">
        <v>-0.280752981483328</v>
      </c>
      <c r="AK261" s="5">
        <v>0.459694901747447</v>
      </c>
      <c r="AL261" s="5">
        <v>0.280752981483328</v>
      </c>
      <c r="AM261" s="5">
        <v>10.1452721658031</v>
      </c>
      <c r="AN261" s="5">
        <v>-0.382289160206052</v>
      </c>
      <c r="AO261" s="5">
        <v>-0.72</v>
      </c>
      <c r="AP261" s="5">
        <v>1212.20967645111</v>
      </c>
      <c r="AQ261" s="5">
        <v>2.16502218725737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4.55274987369036</v>
      </c>
      <c r="AY261" s="5">
        <v>-7.13430555555556</v>
      </c>
      <c r="AZ261" s="5">
        <v>1</v>
      </c>
      <c r="BA261" s="5">
        <v>1</v>
      </c>
    </row>
    <row r="262" hidden="1" spans="1:53">
      <c r="A262" t="s">
        <v>53</v>
      </c>
      <c r="B262" t="s">
        <v>83</v>
      </c>
      <c r="C262" t="s">
        <v>55</v>
      </c>
      <c r="D262" s="4" t="s">
        <v>65</v>
      </c>
      <c r="E262">
        <v>0.058594</v>
      </c>
      <c r="F262">
        <v>6.7</v>
      </c>
      <c r="G262">
        <v>1</v>
      </c>
      <c r="H262">
        <v>17</v>
      </c>
      <c r="I262">
        <v>44</v>
      </c>
      <c r="J262">
        <v>36</v>
      </c>
      <c r="K262">
        <v>20</v>
      </c>
      <c r="L262" t="s">
        <v>57</v>
      </c>
      <c r="M262" t="s">
        <v>58</v>
      </c>
      <c r="N262" t="s">
        <v>86</v>
      </c>
      <c r="O262">
        <v>0.17013268126</v>
      </c>
      <c r="P262">
        <f t="shared" si="9"/>
        <v>2.90358537153975</v>
      </c>
      <c r="Q262">
        <f t="shared" si="10"/>
        <v>1.06594630837334</v>
      </c>
      <c r="R262">
        <v>150</v>
      </c>
      <c r="S262" t="s">
        <v>60</v>
      </c>
      <c r="T262" t="s">
        <v>61</v>
      </c>
      <c r="U262" t="s">
        <v>62</v>
      </c>
      <c r="V262">
        <v>1</v>
      </c>
      <c r="W262">
        <v>0</v>
      </c>
      <c r="X262">
        <v>1</v>
      </c>
      <c r="Y262">
        <v>1</v>
      </c>
      <c r="Z262">
        <v>0</v>
      </c>
      <c r="AA262">
        <v>0</v>
      </c>
      <c r="AB262">
        <v>1</v>
      </c>
      <c r="AC262">
        <v>0</v>
      </c>
      <c r="AD262">
        <v>1</v>
      </c>
      <c r="AE262" s="5">
        <v>12.6956944444444</v>
      </c>
      <c r="AF262" s="5">
        <v>7.51923752834467</v>
      </c>
      <c r="AG262" s="5">
        <v>0.567423483996869</v>
      </c>
      <c r="AH262" s="5">
        <v>16.6086956521739</v>
      </c>
      <c r="AI262" s="5">
        <v>0.459647303367286</v>
      </c>
      <c r="AJ262" s="5">
        <v>-0.280752999575136</v>
      </c>
      <c r="AK262" s="5">
        <v>0.459647303367286</v>
      </c>
      <c r="AL262" s="5">
        <v>0.280752999575136</v>
      </c>
      <c r="AM262" s="5">
        <v>9.97962409166519</v>
      </c>
      <c r="AN262" s="5">
        <v>-0.433260944725331</v>
      </c>
      <c r="AO262" s="5">
        <v>-1</v>
      </c>
      <c r="AP262" s="5">
        <v>14934.5346948423</v>
      </c>
      <c r="AQ262" s="5">
        <v>2.69882520469918</v>
      </c>
      <c r="AR262" s="5">
        <v>0</v>
      </c>
      <c r="AS262" s="5">
        <v>0</v>
      </c>
      <c r="AT262" s="5">
        <v>0</v>
      </c>
      <c r="AU262" s="5">
        <v>0</v>
      </c>
      <c r="AV262" s="5">
        <v>0</v>
      </c>
      <c r="AW262" s="5">
        <v>0</v>
      </c>
      <c r="AX262" s="5">
        <v>4.55274987369036</v>
      </c>
      <c r="AY262" s="5">
        <v>-7.5938637329932</v>
      </c>
      <c r="AZ262" s="5">
        <v>1</v>
      </c>
      <c r="BA262" s="5">
        <v>1</v>
      </c>
    </row>
    <row r="263" hidden="1" spans="1:53">
      <c r="A263" t="s">
        <v>53</v>
      </c>
      <c r="B263" t="s">
        <v>83</v>
      </c>
      <c r="C263" t="s">
        <v>55</v>
      </c>
      <c r="D263" s="4" t="s">
        <v>66</v>
      </c>
      <c r="E263">
        <v>0.175781</v>
      </c>
      <c r="F263">
        <v>6.7</v>
      </c>
      <c r="G263">
        <v>1</v>
      </c>
      <c r="H263">
        <v>17</v>
      </c>
      <c r="I263">
        <v>44</v>
      </c>
      <c r="J263">
        <v>36</v>
      </c>
      <c r="K263">
        <v>20</v>
      </c>
      <c r="L263" t="s">
        <v>57</v>
      </c>
      <c r="M263" t="s">
        <v>58</v>
      </c>
      <c r="N263" t="s">
        <v>86</v>
      </c>
      <c r="O263">
        <v>0.63009698082</v>
      </c>
      <c r="P263">
        <f t="shared" si="9"/>
        <v>3.58455681114569</v>
      </c>
      <c r="Q263">
        <f t="shared" si="10"/>
        <v>1.27663484329823</v>
      </c>
      <c r="R263">
        <v>150</v>
      </c>
      <c r="S263" t="s">
        <v>60</v>
      </c>
      <c r="T263" t="s">
        <v>61</v>
      </c>
      <c r="U263" t="s">
        <v>62</v>
      </c>
      <c r="V263">
        <v>1</v>
      </c>
      <c r="W263">
        <v>0</v>
      </c>
      <c r="X263">
        <v>1</v>
      </c>
      <c r="Y263">
        <v>1</v>
      </c>
      <c r="Z263">
        <v>0</v>
      </c>
      <c r="AA263">
        <v>0</v>
      </c>
      <c r="AB263">
        <v>1</v>
      </c>
      <c r="AC263">
        <v>0</v>
      </c>
      <c r="AD263">
        <v>1</v>
      </c>
      <c r="AE263" s="5">
        <v>12.8254166666667</v>
      </c>
      <c r="AF263" s="5">
        <v>4.27882137345679</v>
      </c>
      <c r="AG263" s="5">
        <v>0.653062667189842</v>
      </c>
      <c r="AH263" s="5">
        <v>16.12</v>
      </c>
      <c r="AI263" s="5">
        <v>0.459647294455008</v>
      </c>
      <c r="AJ263" s="5">
        <v>-0.47662745733429</v>
      </c>
      <c r="AK263" s="5">
        <v>0.47662745733429</v>
      </c>
      <c r="AL263" s="5">
        <v>0.459647294455008</v>
      </c>
      <c r="AM263" s="5">
        <v>9.90907137329749</v>
      </c>
      <c r="AN263" s="5">
        <v>-0.449718247791216</v>
      </c>
      <c r="AO263" s="5">
        <v>-1.58</v>
      </c>
      <c r="AP263" s="5">
        <v>39741.8973369129</v>
      </c>
      <c r="AQ263" s="5">
        <v>2.73920148528388</v>
      </c>
      <c r="AR263" s="5">
        <v>0</v>
      </c>
      <c r="AS263" s="5">
        <v>4.79453718407182</v>
      </c>
      <c r="AT263" s="5">
        <v>0</v>
      </c>
      <c r="AU263" s="5">
        <v>0</v>
      </c>
      <c r="AV263" s="5">
        <v>0</v>
      </c>
      <c r="AW263" s="5">
        <v>0</v>
      </c>
      <c r="AX263" s="5">
        <v>5.10652739484071</v>
      </c>
      <c r="AY263" s="5">
        <v>-7.69383775037793</v>
      </c>
      <c r="AZ263" s="5">
        <v>0.875</v>
      </c>
      <c r="BA263" s="5">
        <v>1</v>
      </c>
    </row>
    <row r="264" hidden="1" spans="1:53">
      <c r="A264" t="s">
        <v>53</v>
      </c>
      <c r="B264" t="s">
        <v>83</v>
      </c>
      <c r="C264" t="s">
        <v>55</v>
      </c>
      <c r="D264" s="4" t="s">
        <v>67</v>
      </c>
      <c r="E264">
        <v>0.0234369999999999</v>
      </c>
      <c r="F264">
        <v>6.7</v>
      </c>
      <c r="G264">
        <v>1</v>
      </c>
      <c r="H264">
        <v>17</v>
      </c>
      <c r="I264">
        <v>44</v>
      </c>
      <c r="J264">
        <v>36</v>
      </c>
      <c r="K264">
        <v>20</v>
      </c>
      <c r="L264" t="s">
        <v>57</v>
      </c>
      <c r="M264" t="s">
        <v>58</v>
      </c>
      <c r="N264" t="s">
        <v>86</v>
      </c>
      <c r="O264">
        <v>1.05043300492</v>
      </c>
      <c r="P264">
        <f t="shared" si="9"/>
        <v>44.8194310244487</v>
      </c>
      <c r="Q264">
        <f t="shared" si="10"/>
        <v>3.80264177361234</v>
      </c>
      <c r="R264">
        <v>150</v>
      </c>
      <c r="S264" t="s">
        <v>60</v>
      </c>
      <c r="T264" t="s">
        <v>61</v>
      </c>
      <c r="U264" t="s">
        <v>62</v>
      </c>
      <c r="V264">
        <v>1</v>
      </c>
      <c r="W264">
        <v>0</v>
      </c>
      <c r="X264">
        <v>1</v>
      </c>
      <c r="Y264">
        <v>1</v>
      </c>
      <c r="Z264">
        <v>0</v>
      </c>
      <c r="AA264">
        <v>0</v>
      </c>
      <c r="AB264">
        <v>1</v>
      </c>
      <c r="AC264">
        <v>0</v>
      </c>
      <c r="AD264">
        <v>1</v>
      </c>
      <c r="AE264" s="5">
        <v>13.0371419123205</v>
      </c>
      <c r="AF264" s="5">
        <v>7.66829457707096</v>
      </c>
      <c r="AG264" s="5">
        <v>0.402493807679921</v>
      </c>
      <c r="AH264" s="5">
        <v>16.8965517241379</v>
      </c>
      <c r="AI264" s="5">
        <v>0.459647294440031</v>
      </c>
      <c r="AJ264" s="5">
        <v>-0.280752999575314</v>
      </c>
      <c r="AK264" s="5">
        <v>0.459647294440031</v>
      </c>
      <c r="AL264" s="5">
        <v>0.280752999575314</v>
      </c>
      <c r="AM264" s="5">
        <v>9.90856544965598</v>
      </c>
      <c r="AN264" s="5">
        <v>-0.457885273814649</v>
      </c>
      <c r="AO264" s="5">
        <v>-1.28</v>
      </c>
      <c r="AP264" s="5">
        <v>176558.643253875</v>
      </c>
      <c r="AQ264" s="5">
        <v>3.26474212239717</v>
      </c>
      <c r="AR264" s="5">
        <v>0</v>
      </c>
      <c r="AS264" s="5">
        <v>0</v>
      </c>
      <c r="AT264" s="5">
        <v>0</v>
      </c>
      <c r="AU264" s="5">
        <v>0</v>
      </c>
      <c r="AV264" s="5">
        <v>0</v>
      </c>
      <c r="AW264" s="5">
        <v>0</v>
      </c>
      <c r="AX264" s="5">
        <v>4.55274987369036</v>
      </c>
      <c r="AY264" s="5">
        <v>-7.88274914441085</v>
      </c>
      <c r="AZ264" s="5">
        <v>1</v>
      </c>
      <c r="BA264" s="5">
        <v>1</v>
      </c>
    </row>
    <row r="265" hidden="1" spans="1:53">
      <c r="A265" t="s">
        <v>53</v>
      </c>
      <c r="B265" t="s">
        <v>84</v>
      </c>
      <c r="C265" t="s">
        <v>55</v>
      </c>
      <c r="D265" s="4" t="s">
        <v>56</v>
      </c>
      <c r="E265">
        <v>0.175781</v>
      </c>
      <c r="F265">
        <v>6.7</v>
      </c>
      <c r="G265">
        <v>1</v>
      </c>
      <c r="H265">
        <v>17</v>
      </c>
      <c r="I265">
        <v>44</v>
      </c>
      <c r="J265">
        <v>36</v>
      </c>
      <c r="K265">
        <v>20</v>
      </c>
      <c r="L265" t="s">
        <v>57</v>
      </c>
      <c r="M265" t="s">
        <v>58</v>
      </c>
      <c r="N265" t="s">
        <v>86</v>
      </c>
      <c r="O265">
        <v>1.25776025952</v>
      </c>
      <c r="P265">
        <f t="shared" si="9"/>
        <v>7.15526854165126</v>
      </c>
      <c r="Q265">
        <f t="shared" si="10"/>
        <v>1.96784894433084</v>
      </c>
      <c r="R265">
        <v>150</v>
      </c>
      <c r="S265" t="s">
        <v>60</v>
      </c>
      <c r="T265" t="s">
        <v>61</v>
      </c>
      <c r="U265" t="s">
        <v>62</v>
      </c>
      <c r="V265">
        <v>1</v>
      </c>
      <c r="W265">
        <v>0</v>
      </c>
      <c r="X265">
        <v>1</v>
      </c>
      <c r="Y265">
        <v>1</v>
      </c>
      <c r="Z265">
        <v>0</v>
      </c>
      <c r="AA265">
        <v>0</v>
      </c>
      <c r="AB265">
        <v>1</v>
      </c>
      <c r="AC265">
        <v>0</v>
      </c>
      <c r="AD265">
        <v>1</v>
      </c>
      <c r="AE265" s="5">
        <v>11.7505787037037</v>
      </c>
      <c r="AF265" s="5">
        <v>3.53256944444444</v>
      </c>
      <c r="AG265" s="5">
        <v>0.712441776552488</v>
      </c>
      <c r="AH265" s="5">
        <v>14.3846153846154</v>
      </c>
      <c r="AI265" s="5">
        <v>0.460094687009651</v>
      </c>
      <c r="AJ265" s="5">
        <v>-0.476625664235965</v>
      </c>
      <c r="AK265" s="5">
        <v>0.476625664235965</v>
      </c>
      <c r="AL265" s="5">
        <v>0.460094687009651</v>
      </c>
      <c r="AM265" s="5">
        <v>10.1473915373546</v>
      </c>
      <c r="AN265" s="5">
        <v>-0.347050241178715</v>
      </c>
      <c r="AO265" s="5">
        <v>-1.02</v>
      </c>
      <c r="AP265" s="5">
        <v>260.658615872357</v>
      </c>
      <c r="AQ265" s="5">
        <v>1.67669845728037</v>
      </c>
      <c r="AR265" s="5">
        <v>0</v>
      </c>
      <c r="AS265" s="5">
        <v>4.79453718407182</v>
      </c>
      <c r="AT265" s="5">
        <v>0</v>
      </c>
      <c r="AU265" s="5">
        <v>0</v>
      </c>
      <c r="AV265" s="5">
        <v>0</v>
      </c>
      <c r="AW265" s="5">
        <v>0</v>
      </c>
      <c r="AX265" s="5">
        <v>5.10652739484071</v>
      </c>
      <c r="AY265" s="5">
        <v>-6.60229166666667</v>
      </c>
      <c r="AZ265" s="5">
        <v>0.75</v>
      </c>
      <c r="BA265" s="5">
        <v>1</v>
      </c>
    </row>
    <row r="266" hidden="1" spans="1:53">
      <c r="A266" t="s">
        <v>53</v>
      </c>
      <c r="B266" t="s">
        <v>84</v>
      </c>
      <c r="C266" t="s">
        <v>55</v>
      </c>
      <c r="D266" s="4" t="s">
        <v>63</v>
      </c>
      <c r="E266">
        <v>0.269532</v>
      </c>
      <c r="F266">
        <v>6.7</v>
      </c>
      <c r="G266">
        <v>1</v>
      </c>
      <c r="H266">
        <v>17</v>
      </c>
      <c r="I266">
        <v>44</v>
      </c>
      <c r="J266">
        <v>36</v>
      </c>
      <c r="K266">
        <v>20</v>
      </c>
      <c r="L266" t="s">
        <v>57</v>
      </c>
      <c r="M266" t="s">
        <v>58</v>
      </c>
      <c r="N266" t="s">
        <v>86</v>
      </c>
      <c r="O266">
        <v>0.21349112512</v>
      </c>
      <c r="P266">
        <f t="shared" si="9"/>
        <v>0.792080810887019</v>
      </c>
      <c r="Q266">
        <f t="shared" si="10"/>
        <v>-0.233091858424564</v>
      </c>
      <c r="R266">
        <v>150</v>
      </c>
      <c r="S266" t="s">
        <v>60</v>
      </c>
      <c r="T266" t="s">
        <v>61</v>
      </c>
      <c r="U266" t="s">
        <v>62</v>
      </c>
      <c r="V266">
        <v>1</v>
      </c>
      <c r="W266">
        <v>0</v>
      </c>
      <c r="X266">
        <v>1</v>
      </c>
      <c r="Y266">
        <v>1</v>
      </c>
      <c r="Z266">
        <v>0</v>
      </c>
      <c r="AA266">
        <v>0</v>
      </c>
      <c r="AB266">
        <v>1</v>
      </c>
      <c r="AC266">
        <v>0</v>
      </c>
      <c r="AD266">
        <v>1</v>
      </c>
      <c r="AE266" s="5">
        <v>12.2120833333333</v>
      </c>
      <c r="AF266" s="5">
        <v>7.00097222222222</v>
      </c>
      <c r="AG266" s="5">
        <v>0.642528075697275</v>
      </c>
      <c r="AH266" s="5">
        <v>16.1176470588235</v>
      </c>
      <c r="AI266" s="5">
        <v>0.459694901747447</v>
      </c>
      <c r="AJ266" s="5">
        <v>-0.280752981483328</v>
      </c>
      <c r="AK266" s="5">
        <v>0.459694901747447</v>
      </c>
      <c r="AL266" s="5">
        <v>0.280752981483328</v>
      </c>
      <c r="AM266" s="5">
        <v>10.1452721658031</v>
      </c>
      <c r="AN266" s="5">
        <v>-0.382289160206052</v>
      </c>
      <c r="AO266" s="5">
        <v>-0.72</v>
      </c>
      <c r="AP266" s="5">
        <v>1212.20967645111</v>
      </c>
      <c r="AQ266" s="5">
        <v>2.16502218725737</v>
      </c>
      <c r="AR266" s="5">
        <v>0</v>
      </c>
      <c r="AS266" s="5">
        <v>0</v>
      </c>
      <c r="AT266" s="5">
        <v>0</v>
      </c>
      <c r="AU266" s="5">
        <v>0</v>
      </c>
      <c r="AV266" s="5">
        <v>0</v>
      </c>
      <c r="AW266" s="5">
        <v>0</v>
      </c>
      <c r="AX266" s="5">
        <v>4.55274987369036</v>
      </c>
      <c r="AY266" s="5">
        <v>-7.13430555555556</v>
      </c>
      <c r="AZ266" s="5">
        <v>1</v>
      </c>
      <c r="BA266" s="5">
        <v>1</v>
      </c>
    </row>
    <row r="267" hidden="1" spans="1:53">
      <c r="A267" t="s">
        <v>53</v>
      </c>
      <c r="B267" t="s">
        <v>84</v>
      </c>
      <c r="C267" t="s">
        <v>55</v>
      </c>
      <c r="D267" s="4" t="s">
        <v>65</v>
      </c>
      <c r="E267">
        <v>0.082031</v>
      </c>
      <c r="F267">
        <v>6.7</v>
      </c>
      <c r="G267">
        <v>1</v>
      </c>
      <c r="H267">
        <v>17</v>
      </c>
      <c r="I267">
        <v>44</v>
      </c>
      <c r="J267">
        <v>36</v>
      </c>
      <c r="K267">
        <v>20</v>
      </c>
      <c r="L267" t="s">
        <v>57</v>
      </c>
      <c r="M267" t="s">
        <v>58</v>
      </c>
      <c r="N267" t="s">
        <v>86</v>
      </c>
      <c r="O267">
        <v>0.14677103744</v>
      </c>
      <c r="P267">
        <f t="shared" si="9"/>
        <v>1.78921429020736</v>
      </c>
      <c r="Q267">
        <f t="shared" si="10"/>
        <v>0.581776579470304</v>
      </c>
      <c r="R267">
        <v>150</v>
      </c>
      <c r="S267" t="s">
        <v>60</v>
      </c>
      <c r="T267" t="s">
        <v>61</v>
      </c>
      <c r="U267" t="s">
        <v>62</v>
      </c>
      <c r="V267">
        <v>1</v>
      </c>
      <c r="W267">
        <v>0</v>
      </c>
      <c r="X267">
        <v>1</v>
      </c>
      <c r="Y267">
        <v>1</v>
      </c>
      <c r="Z267">
        <v>0</v>
      </c>
      <c r="AA267">
        <v>0</v>
      </c>
      <c r="AB267">
        <v>1</v>
      </c>
      <c r="AC267">
        <v>0</v>
      </c>
      <c r="AD267">
        <v>1</v>
      </c>
      <c r="AE267" s="5">
        <v>12.6956944444444</v>
      </c>
      <c r="AF267" s="5">
        <v>7.51923752834467</v>
      </c>
      <c r="AG267" s="5">
        <v>0.567423483996869</v>
      </c>
      <c r="AH267" s="5">
        <v>16.6086956521739</v>
      </c>
      <c r="AI267" s="5">
        <v>0.459647303367286</v>
      </c>
      <c r="AJ267" s="5">
        <v>-0.280752999575136</v>
      </c>
      <c r="AK267" s="5">
        <v>0.459647303367286</v>
      </c>
      <c r="AL267" s="5">
        <v>0.280752999575136</v>
      </c>
      <c r="AM267" s="5">
        <v>9.97962409166519</v>
      </c>
      <c r="AN267" s="5">
        <v>-0.433260944725331</v>
      </c>
      <c r="AO267" s="5">
        <v>-1</v>
      </c>
      <c r="AP267" s="5">
        <v>14934.5346948423</v>
      </c>
      <c r="AQ267" s="5">
        <v>2.69882520469918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4.55274987369036</v>
      </c>
      <c r="AY267" s="5">
        <v>-7.5938637329932</v>
      </c>
      <c r="AZ267" s="5">
        <v>1</v>
      </c>
      <c r="BA267" s="5">
        <v>1</v>
      </c>
    </row>
    <row r="268" hidden="1" spans="1:53">
      <c r="A268" t="s">
        <v>53</v>
      </c>
      <c r="B268" t="s">
        <v>84</v>
      </c>
      <c r="C268" t="s">
        <v>55</v>
      </c>
      <c r="D268" s="4" t="s">
        <v>66</v>
      </c>
      <c r="E268">
        <v>0.386719</v>
      </c>
      <c r="F268">
        <v>6.7</v>
      </c>
      <c r="G268">
        <v>1</v>
      </c>
      <c r="H268">
        <v>17</v>
      </c>
      <c r="I268">
        <v>44</v>
      </c>
      <c r="J268">
        <v>36</v>
      </c>
      <c r="K268">
        <v>20</v>
      </c>
      <c r="L268" t="s">
        <v>57</v>
      </c>
      <c r="M268" t="s">
        <v>58</v>
      </c>
      <c r="N268" t="s">
        <v>86</v>
      </c>
      <c r="O268">
        <v>0.56685763616</v>
      </c>
      <c r="P268">
        <f t="shared" si="9"/>
        <v>1.46581273782773</v>
      </c>
      <c r="Q268">
        <f t="shared" si="10"/>
        <v>0.382409858489405</v>
      </c>
      <c r="R268">
        <v>150</v>
      </c>
      <c r="S268" t="s">
        <v>60</v>
      </c>
      <c r="T268" t="s">
        <v>61</v>
      </c>
      <c r="U268" t="s">
        <v>62</v>
      </c>
      <c r="V268">
        <v>1</v>
      </c>
      <c r="W268">
        <v>0</v>
      </c>
      <c r="X268">
        <v>1</v>
      </c>
      <c r="Y268">
        <v>1</v>
      </c>
      <c r="Z268">
        <v>0</v>
      </c>
      <c r="AA268">
        <v>0</v>
      </c>
      <c r="AB268">
        <v>1</v>
      </c>
      <c r="AC268">
        <v>0</v>
      </c>
      <c r="AD268">
        <v>1</v>
      </c>
      <c r="AE268" s="5">
        <v>12.8254166666667</v>
      </c>
      <c r="AF268" s="5">
        <v>4.27882137345679</v>
      </c>
      <c r="AG268" s="5">
        <v>0.653062667189842</v>
      </c>
      <c r="AH268" s="5">
        <v>16.12</v>
      </c>
      <c r="AI268" s="5">
        <v>0.459647294455008</v>
      </c>
      <c r="AJ268" s="5">
        <v>-0.47662745733429</v>
      </c>
      <c r="AK268" s="5">
        <v>0.47662745733429</v>
      </c>
      <c r="AL268" s="5">
        <v>0.459647294455008</v>
      </c>
      <c r="AM268" s="5">
        <v>9.90907137329749</v>
      </c>
      <c r="AN268" s="5">
        <v>-0.449718247791216</v>
      </c>
      <c r="AO268" s="5">
        <v>-1.58</v>
      </c>
      <c r="AP268" s="5">
        <v>39741.8973369129</v>
      </c>
      <c r="AQ268" s="5">
        <v>2.73920148528388</v>
      </c>
      <c r="AR268" s="5">
        <v>0</v>
      </c>
      <c r="AS268" s="5">
        <v>4.79453718407182</v>
      </c>
      <c r="AT268" s="5">
        <v>0</v>
      </c>
      <c r="AU268" s="5">
        <v>0</v>
      </c>
      <c r="AV268" s="5">
        <v>0</v>
      </c>
      <c r="AW268" s="5">
        <v>0</v>
      </c>
      <c r="AX268" s="5">
        <v>5.10652739484071</v>
      </c>
      <c r="AY268" s="5">
        <v>-7.69383775037793</v>
      </c>
      <c r="AZ268" s="5">
        <v>0.875</v>
      </c>
      <c r="BA268" s="5">
        <v>1</v>
      </c>
    </row>
    <row r="269" hidden="1" spans="1:53">
      <c r="A269" t="s">
        <v>53</v>
      </c>
      <c r="B269" t="s">
        <v>84</v>
      </c>
      <c r="C269" t="s">
        <v>55</v>
      </c>
      <c r="D269" s="4" t="s">
        <v>67</v>
      </c>
      <c r="E269">
        <v>0.0234399999999999</v>
      </c>
      <c r="F269">
        <v>6.7</v>
      </c>
      <c r="G269">
        <v>1</v>
      </c>
      <c r="H269">
        <v>17</v>
      </c>
      <c r="I269">
        <v>44</v>
      </c>
      <c r="J269">
        <v>36</v>
      </c>
      <c r="K269">
        <v>20</v>
      </c>
      <c r="L269" t="s">
        <v>57</v>
      </c>
      <c r="M269" t="s">
        <v>58</v>
      </c>
      <c r="N269" t="s">
        <v>86</v>
      </c>
      <c r="O269">
        <v>1.1201870784</v>
      </c>
      <c r="P269">
        <f t="shared" ref="P269:P332" si="11">O269/E269</f>
        <v>47.7895511262801</v>
      </c>
      <c r="Q269">
        <f t="shared" si="10"/>
        <v>3.86680701991737</v>
      </c>
      <c r="R269">
        <v>150</v>
      </c>
      <c r="S269" t="s">
        <v>60</v>
      </c>
      <c r="T269" t="s">
        <v>61</v>
      </c>
      <c r="U269" t="s">
        <v>62</v>
      </c>
      <c r="V269">
        <v>1</v>
      </c>
      <c r="W269">
        <v>0</v>
      </c>
      <c r="X269">
        <v>1</v>
      </c>
      <c r="Y269">
        <v>1</v>
      </c>
      <c r="Z269">
        <v>0</v>
      </c>
      <c r="AA269">
        <v>0</v>
      </c>
      <c r="AB269">
        <v>1</v>
      </c>
      <c r="AC269">
        <v>0</v>
      </c>
      <c r="AD269">
        <v>1</v>
      </c>
      <c r="AE269" s="5">
        <v>13.0371419123205</v>
      </c>
      <c r="AF269" s="5">
        <v>7.66829457707096</v>
      </c>
      <c r="AG269" s="5">
        <v>0.402493807679921</v>
      </c>
      <c r="AH269" s="5">
        <v>16.8965517241379</v>
      </c>
      <c r="AI269" s="5">
        <v>0.459647294440031</v>
      </c>
      <c r="AJ269" s="5">
        <v>-0.280752999575314</v>
      </c>
      <c r="AK269" s="5">
        <v>0.459647294440031</v>
      </c>
      <c r="AL269" s="5">
        <v>0.280752999575314</v>
      </c>
      <c r="AM269" s="5">
        <v>9.90856544965598</v>
      </c>
      <c r="AN269" s="5">
        <v>-0.457885273814649</v>
      </c>
      <c r="AO269" s="5">
        <v>-1.28</v>
      </c>
      <c r="AP269" s="5">
        <v>176558.643253875</v>
      </c>
      <c r="AQ269" s="5">
        <v>3.26474212239717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4.55274987369036</v>
      </c>
      <c r="AY269" s="5">
        <v>-7.88274914441085</v>
      </c>
      <c r="AZ269" s="5">
        <v>1</v>
      </c>
      <c r="BA269" s="5">
        <v>1</v>
      </c>
    </row>
    <row r="270" hidden="1" spans="1:53">
      <c r="A270" t="s">
        <v>53</v>
      </c>
      <c r="B270" t="s">
        <v>84</v>
      </c>
      <c r="C270" t="s">
        <v>55</v>
      </c>
      <c r="D270" s="4" t="s">
        <v>68</v>
      </c>
      <c r="E270">
        <v>0.03515</v>
      </c>
      <c r="F270">
        <v>6.7</v>
      </c>
      <c r="G270">
        <v>1</v>
      </c>
      <c r="H270">
        <v>17</v>
      </c>
      <c r="I270">
        <v>44</v>
      </c>
      <c r="J270">
        <v>36</v>
      </c>
      <c r="K270">
        <v>20</v>
      </c>
      <c r="L270" t="s">
        <v>57</v>
      </c>
      <c r="M270" t="s">
        <v>58</v>
      </c>
      <c r="N270" t="s">
        <v>86</v>
      </c>
      <c r="O270">
        <v>0.82274769968</v>
      </c>
      <c r="P270">
        <f t="shared" si="11"/>
        <v>23.4067624375533</v>
      </c>
      <c r="Q270">
        <f t="shared" si="10"/>
        <v>3.15302497367104</v>
      </c>
      <c r="R270">
        <v>150</v>
      </c>
      <c r="S270" t="s">
        <v>60</v>
      </c>
      <c r="T270" t="s">
        <v>61</v>
      </c>
      <c r="U270" t="s">
        <v>62</v>
      </c>
      <c r="V270">
        <v>1</v>
      </c>
      <c r="W270">
        <v>0</v>
      </c>
      <c r="X270">
        <v>1</v>
      </c>
      <c r="Y270">
        <v>1</v>
      </c>
      <c r="Z270">
        <v>0</v>
      </c>
      <c r="AA270">
        <v>0</v>
      </c>
      <c r="AB270">
        <v>1</v>
      </c>
      <c r="AC270">
        <v>0</v>
      </c>
      <c r="AD270">
        <v>1</v>
      </c>
      <c r="AE270" s="5">
        <v>12.1252083333333</v>
      </c>
      <c r="AF270" s="5">
        <v>3.79034722222222</v>
      </c>
      <c r="AG270" s="5">
        <v>0.795108310685598</v>
      </c>
      <c r="AH270" s="5">
        <v>15.0625</v>
      </c>
      <c r="AI270" s="5">
        <v>0.459665733935349</v>
      </c>
      <c r="AJ270" s="5">
        <v>-0.476627440416371</v>
      </c>
      <c r="AK270" s="5">
        <v>0.476627440416371</v>
      </c>
      <c r="AL270" s="5">
        <v>0.459665733935349</v>
      </c>
      <c r="AM270" s="5">
        <v>10.044436145131</v>
      </c>
      <c r="AN270" s="5">
        <v>-0.389909625311938</v>
      </c>
      <c r="AO270" s="5">
        <v>-1.16</v>
      </c>
      <c r="AP270" s="5">
        <v>939.726830541714</v>
      </c>
      <c r="AQ270" s="5">
        <v>1.77550667912426</v>
      </c>
      <c r="AR270" s="5">
        <v>0</v>
      </c>
      <c r="AS270" s="5">
        <v>4.79453718407182</v>
      </c>
      <c r="AT270" s="5">
        <v>0</v>
      </c>
      <c r="AU270" s="5">
        <v>0</v>
      </c>
      <c r="AV270" s="5">
        <v>0</v>
      </c>
      <c r="AW270" s="5">
        <v>0</v>
      </c>
      <c r="AX270" s="5">
        <v>5.10652739484071</v>
      </c>
      <c r="AY270" s="5">
        <v>-7.00458333333333</v>
      </c>
      <c r="AZ270" s="5">
        <v>0.8</v>
      </c>
      <c r="BA270" s="5">
        <v>1</v>
      </c>
    </row>
    <row r="271" hidden="1" spans="1:53">
      <c r="A271" t="s">
        <v>53</v>
      </c>
      <c r="B271" t="s">
        <v>54</v>
      </c>
      <c r="C271" t="s">
        <v>55</v>
      </c>
      <c r="D271" s="4" t="s">
        <v>56</v>
      </c>
      <c r="E271">
        <v>0.585938</v>
      </c>
      <c r="F271">
        <v>6.7</v>
      </c>
      <c r="G271">
        <v>1</v>
      </c>
      <c r="H271">
        <v>17</v>
      </c>
      <c r="I271">
        <v>44</v>
      </c>
      <c r="J271">
        <v>36</v>
      </c>
      <c r="K271">
        <v>20</v>
      </c>
      <c r="L271" t="s">
        <v>57</v>
      </c>
      <c r="M271" t="s">
        <v>58</v>
      </c>
      <c r="N271" t="s">
        <v>87</v>
      </c>
      <c r="O271">
        <v>3.614871312</v>
      </c>
      <c r="P271">
        <f t="shared" si="11"/>
        <v>6.16937510794657</v>
      </c>
      <c r="Q271">
        <f t="shared" si="10"/>
        <v>1.81959755368718</v>
      </c>
      <c r="R271">
        <v>150</v>
      </c>
      <c r="S271" t="s">
        <v>60</v>
      </c>
      <c r="T271" t="s">
        <v>61</v>
      </c>
      <c r="U271" t="s">
        <v>62</v>
      </c>
      <c r="V271">
        <v>1</v>
      </c>
      <c r="W271">
        <v>0</v>
      </c>
      <c r="X271">
        <v>1</v>
      </c>
      <c r="Y271">
        <v>1</v>
      </c>
      <c r="Z271">
        <v>0</v>
      </c>
      <c r="AA271">
        <v>0</v>
      </c>
      <c r="AB271">
        <v>1</v>
      </c>
      <c r="AC271">
        <v>0</v>
      </c>
      <c r="AD271">
        <v>1</v>
      </c>
      <c r="AE271" s="5">
        <v>11.7505787037037</v>
      </c>
      <c r="AF271" s="5">
        <v>3.53256944444444</v>
      </c>
      <c r="AG271" s="5">
        <v>0.712441776552488</v>
      </c>
      <c r="AH271" s="5">
        <v>14.3846153846154</v>
      </c>
      <c r="AI271" s="5">
        <v>0.460094687009651</v>
      </c>
      <c r="AJ271" s="5">
        <v>-0.476625664235965</v>
      </c>
      <c r="AK271" s="5">
        <v>0.476625664235965</v>
      </c>
      <c r="AL271" s="5">
        <v>0.460094687009651</v>
      </c>
      <c r="AM271" s="5">
        <v>10.1473915373546</v>
      </c>
      <c r="AN271" s="5">
        <v>-0.347050241178715</v>
      </c>
      <c r="AO271" s="5">
        <v>-1.02</v>
      </c>
      <c r="AP271" s="5">
        <v>260.658615872357</v>
      </c>
      <c r="AQ271" s="5">
        <v>1.67669845728037</v>
      </c>
      <c r="AR271" s="5">
        <v>0</v>
      </c>
      <c r="AS271" s="5">
        <v>4.79453718407182</v>
      </c>
      <c r="AT271" s="5">
        <v>0</v>
      </c>
      <c r="AU271" s="5">
        <v>0</v>
      </c>
      <c r="AV271" s="5">
        <v>0</v>
      </c>
      <c r="AW271" s="5">
        <v>0</v>
      </c>
      <c r="AX271" s="5">
        <v>5.10652739484071</v>
      </c>
      <c r="AY271" s="5">
        <v>-6.60229166666667</v>
      </c>
      <c r="AZ271" s="5">
        <v>0.75</v>
      </c>
      <c r="BA271" s="5">
        <v>1</v>
      </c>
    </row>
    <row r="272" hidden="1" spans="1:53">
      <c r="A272" t="s">
        <v>53</v>
      </c>
      <c r="B272" t="s">
        <v>54</v>
      </c>
      <c r="C272" t="s">
        <v>55</v>
      </c>
      <c r="D272" s="4" t="s">
        <v>63</v>
      </c>
      <c r="E272">
        <v>0.29297</v>
      </c>
      <c r="F272">
        <v>6.7</v>
      </c>
      <c r="G272">
        <v>1</v>
      </c>
      <c r="H272">
        <v>17</v>
      </c>
      <c r="I272">
        <v>44</v>
      </c>
      <c r="J272">
        <v>36</v>
      </c>
      <c r="K272">
        <v>20</v>
      </c>
      <c r="L272" t="s">
        <v>57</v>
      </c>
      <c r="M272" t="s">
        <v>58</v>
      </c>
      <c r="N272" t="s">
        <v>87</v>
      </c>
      <c r="O272">
        <v>0.212357106</v>
      </c>
      <c r="P272">
        <f t="shared" si="11"/>
        <v>0.724842495818684</v>
      </c>
      <c r="Q272">
        <f t="shared" si="10"/>
        <v>-0.321800894875684</v>
      </c>
      <c r="R272">
        <v>150</v>
      </c>
      <c r="S272" t="s">
        <v>60</v>
      </c>
      <c r="T272" t="s">
        <v>61</v>
      </c>
      <c r="U272" t="s">
        <v>62</v>
      </c>
      <c r="V272">
        <v>1</v>
      </c>
      <c r="W272">
        <v>0</v>
      </c>
      <c r="X272">
        <v>1</v>
      </c>
      <c r="Y272">
        <v>1</v>
      </c>
      <c r="Z272">
        <v>0</v>
      </c>
      <c r="AA272">
        <v>0</v>
      </c>
      <c r="AB272">
        <v>1</v>
      </c>
      <c r="AC272">
        <v>0</v>
      </c>
      <c r="AD272">
        <v>1</v>
      </c>
      <c r="AE272" s="5">
        <v>12.2120833333333</v>
      </c>
      <c r="AF272" s="5">
        <v>7.00097222222222</v>
      </c>
      <c r="AG272" s="5">
        <v>0.642528075697275</v>
      </c>
      <c r="AH272" s="5">
        <v>16.1176470588235</v>
      </c>
      <c r="AI272" s="5">
        <v>0.459694901747447</v>
      </c>
      <c r="AJ272" s="5">
        <v>-0.280752981483328</v>
      </c>
      <c r="AK272" s="5">
        <v>0.459694901747447</v>
      </c>
      <c r="AL272" s="5">
        <v>0.280752981483328</v>
      </c>
      <c r="AM272" s="5">
        <v>10.1452721658031</v>
      </c>
      <c r="AN272" s="5">
        <v>-0.382289160206052</v>
      </c>
      <c r="AO272" s="5">
        <v>-0.72</v>
      </c>
      <c r="AP272" s="5">
        <v>1212.20967645111</v>
      </c>
      <c r="AQ272" s="5">
        <v>2.16502218725737</v>
      </c>
      <c r="AR272" s="5">
        <v>0</v>
      </c>
      <c r="AS272" s="5">
        <v>0</v>
      </c>
      <c r="AT272" s="5">
        <v>0</v>
      </c>
      <c r="AU272" s="5">
        <v>0</v>
      </c>
      <c r="AV272" s="5">
        <v>0</v>
      </c>
      <c r="AW272" s="5">
        <v>0</v>
      </c>
      <c r="AX272" s="5">
        <v>4.55274987369036</v>
      </c>
      <c r="AY272" s="5">
        <v>-7.13430555555556</v>
      </c>
      <c r="AZ272" s="5">
        <v>1</v>
      </c>
      <c r="BA272" s="5">
        <v>1</v>
      </c>
    </row>
    <row r="273" hidden="1" spans="1:53">
      <c r="A273" t="s">
        <v>53</v>
      </c>
      <c r="B273" t="s">
        <v>54</v>
      </c>
      <c r="C273" t="s">
        <v>55</v>
      </c>
      <c r="D273" s="4" t="s">
        <v>64</v>
      </c>
      <c r="E273">
        <v>0.234380000000001</v>
      </c>
      <c r="F273">
        <v>6.7</v>
      </c>
      <c r="G273">
        <v>1</v>
      </c>
      <c r="H273">
        <v>17</v>
      </c>
      <c r="I273">
        <v>44</v>
      </c>
      <c r="J273">
        <v>36</v>
      </c>
      <c r="K273">
        <v>20</v>
      </c>
      <c r="L273" t="s">
        <v>57</v>
      </c>
      <c r="M273" t="s">
        <v>58</v>
      </c>
      <c r="N273" t="s">
        <v>87</v>
      </c>
      <c r="O273">
        <v>0.259489386</v>
      </c>
      <c r="P273">
        <f t="shared" si="11"/>
        <v>1.10713109480331</v>
      </c>
      <c r="Q273">
        <f t="shared" si="10"/>
        <v>0.10177207020488</v>
      </c>
      <c r="R273">
        <v>150</v>
      </c>
      <c r="S273" t="s">
        <v>60</v>
      </c>
      <c r="T273" t="s">
        <v>61</v>
      </c>
      <c r="U273" t="s">
        <v>62</v>
      </c>
      <c r="V273">
        <v>1</v>
      </c>
      <c r="W273">
        <v>0</v>
      </c>
      <c r="X273">
        <v>1</v>
      </c>
      <c r="Y273">
        <v>1</v>
      </c>
      <c r="Z273">
        <v>0</v>
      </c>
      <c r="AA273">
        <v>0</v>
      </c>
      <c r="AB273">
        <v>1</v>
      </c>
      <c r="AC273">
        <v>0</v>
      </c>
      <c r="AD273">
        <v>1</v>
      </c>
      <c r="AE273" s="5">
        <v>12.3952083333333</v>
      </c>
      <c r="AF273" s="5">
        <v>3.99060232426304</v>
      </c>
      <c r="AG273" s="5">
        <v>0.809418673219238</v>
      </c>
      <c r="AH273" s="5">
        <v>15.5263157894737</v>
      </c>
      <c r="AI273" s="5">
        <v>0.459647654411774</v>
      </c>
      <c r="AJ273" s="5">
        <v>-0.476627457257861</v>
      </c>
      <c r="AK273" s="5">
        <v>0.476627457257861</v>
      </c>
      <c r="AL273" s="5">
        <v>0.459647654411774</v>
      </c>
      <c r="AM273" s="5">
        <v>9.98060231888395</v>
      </c>
      <c r="AN273" s="5">
        <v>-0.417658943556199</v>
      </c>
      <c r="AO273" s="5">
        <v>-1.3</v>
      </c>
      <c r="AP273" s="5">
        <v>3314.44680161703</v>
      </c>
      <c r="AQ273" s="5">
        <v>2.17852386673025</v>
      </c>
      <c r="AR273" s="5">
        <v>0</v>
      </c>
      <c r="AS273" s="5">
        <v>4.79453718407182</v>
      </c>
      <c r="AT273" s="5">
        <v>0</v>
      </c>
      <c r="AU273" s="5">
        <v>0</v>
      </c>
      <c r="AV273" s="5">
        <v>0</v>
      </c>
      <c r="AW273" s="5">
        <v>0</v>
      </c>
      <c r="AX273" s="5">
        <v>5.10652739484071</v>
      </c>
      <c r="AY273" s="5">
        <v>-7.29710978835979</v>
      </c>
      <c r="AZ273" s="5">
        <v>0.833333333333333</v>
      </c>
      <c r="BA273" s="5">
        <v>1</v>
      </c>
    </row>
    <row r="274" hidden="1" spans="1:53">
      <c r="A274" t="s">
        <v>53</v>
      </c>
      <c r="B274" t="s">
        <v>54</v>
      </c>
      <c r="C274" t="s">
        <v>55</v>
      </c>
      <c r="D274" s="4" t="s">
        <v>65</v>
      </c>
      <c r="E274">
        <v>0.97265</v>
      </c>
      <c r="F274">
        <v>6.7</v>
      </c>
      <c r="G274">
        <v>1</v>
      </c>
      <c r="H274">
        <v>17</v>
      </c>
      <c r="I274">
        <v>44</v>
      </c>
      <c r="J274">
        <v>36</v>
      </c>
      <c r="K274">
        <v>20</v>
      </c>
      <c r="L274" t="s">
        <v>57</v>
      </c>
      <c r="M274" t="s">
        <v>58</v>
      </c>
      <c r="N274" t="s">
        <v>87</v>
      </c>
      <c r="O274">
        <v>0.235962038</v>
      </c>
      <c r="P274">
        <f t="shared" si="11"/>
        <v>0.242597067804452</v>
      </c>
      <c r="Q274">
        <f t="shared" si="10"/>
        <v>-1.41635336908912</v>
      </c>
      <c r="R274">
        <v>150</v>
      </c>
      <c r="S274" t="s">
        <v>60</v>
      </c>
      <c r="T274" t="s">
        <v>61</v>
      </c>
      <c r="U274" t="s">
        <v>62</v>
      </c>
      <c r="V274">
        <v>1</v>
      </c>
      <c r="W274">
        <v>0</v>
      </c>
      <c r="X274">
        <v>1</v>
      </c>
      <c r="Y274">
        <v>1</v>
      </c>
      <c r="Z274">
        <v>0</v>
      </c>
      <c r="AA274">
        <v>0</v>
      </c>
      <c r="AB274">
        <v>1</v>
      </c>
      <c r="AC274">
        <v>0</v>
      </c>
      <c r="AD274">
        <v>1</v>
      </c>
      <c r="AE274" s="5">
        <v>12.6956944444444</v>
      </c>
      <c r="AF274" s="5">
        <v>7.51923752834467</v>
      </c>
      <c r="AG274" s="5">
        <v>0.567423483996869</v>
      </c>
      <c r="AH274" s="5">
        <v>16.6086956521739</v>
      </c>
      <c r="AI274" s="5">
        <v>0.459647303367286</v>
      </c>
      <c r="AJ274" s="5">
        <v>-0.280752999575136</v>
      </c>
      <c r="AK274" s="5">
        <v>0.459647303367286</v>
      </c>
      <c r="AL274" s="5">
        <v>0.280752999575136</v>
      </c>
      <c r="AM274" s="5">
        <v>9.97962409166519</v>
      </c>
      <c r="AN274" s="5">
        <v>-0.433260944725331</v>
      </c>
      <c r="AO274" s="5">
        <v>-1</v>
      </c>
      <c r="AP274" s="5">
        <v>14934.5346948423</v>
      </c>
      <c r="AQ274" s="5">
        <v>2.69882520469918</v>
      </c>
      <c r="AR274" s="5">
        <v>0</v>
      </c>
      <c r="AS274" s="5">
        <v>0</v>
      </c>
      <c r="AT274" s="5">
        <v>0</v>
      </c>
      <c r="AU274" s="5">
        <v>0</v>
      </c>
      <c r="AV274" s="5">
        <v>0</v>
      </c>
      <c r="AW274" s="5">
        <v>0</v>
      </c>
      <c r="AX274" s="5">
        <v>4.55274987369036</v>
      </c>
      <c r="AY274" s="5">
        <v>-7.5938637329932</v>
      </c>
      <c r="AZ274" s="5">
        <v>1</v>
      </c>
      <c r="BA274" s="5">
        <v>1</v>
      </c>
    </row>
    <row r="275" hidden="1" spans="1:53">
      <c r="A275" t="s">
        <v>53</v>
      </c>
      <c r="B275" t="s">
        <v>54</v>
      </c>
      <c r="C275" t="s">
        <v>55</v>
      </c>
      <c r="D275" s="4" t="s">
        <v>66</v>
      </c>
      <c r="E275">
        <v>1.23047</v>
      </c>
      <c r="F275">
        <v>6.7</v>
      </c>
      <c r="G275">
        <v>1</v>
      </c>
      <c r="H275">
        <v>17</v>
      </c>
      <c r="I275">
        <v>44</v>
      </c>
      <c r="J275">
        <v>36</v>
      </c>
      <c r="K275">
        <v>20</v>
      </c>
      <c r="L275" t="s">
        <v>57</v>
      </c>
      <c r="M275" t="s">
        <v>58</v>
      </c>
      <c r="N275" t="s">
        <v>87</v>
      </c>
      <c r="O275">
        <v>2.74875263</v>
      </c>
      <c r="P275">
        <f t="shared" si="11"/>
        <v>2.23390462993815</v>
      </c>
      <c r="Q275">
        <f t="shared" si="10"/>
        <v>0.80375100946635</v>
      </c>
      <c r="R275">
        <v>150</v>
      </c>
      <c r="S275" t="s">
        <v>60</v>
      </c>
      <c r="T275" t="s">
        <v>61</v>
      </c>
      <c r="U275" t="s">
        <v>62</v>
      </c>
      <c r="V275">
        <v>1</v>
      </c>
      <c r="W275">
        <v>0</v>
      </c>
      <c r="X275">
        <v>1</v>
      </c>
      <c r="Y275">
        <v>1</v>
      </c>
      <c r="Z275">
        <v>0</v>
      </c>
      <c r="AA275">
        <v>0</v>
      </c>
      <c r="AB275">
        <v>1</v>
      </c>
      <c r="AC275">
        <v>0</v>
      </c>
      <c r="AD275">
        <v>1</v>
      </c>
      <c r="AE275" s="5">
        <v>12.8254166666667</v>
      </c>
      <c r="AF275" s="5">
        <v>4.27882137345679</v>
      </c>
      <c r="AG275" s="5">
        <v>0.653062667189842</v>
      </c>
      <c r="AH275" s="5">
        <v>16.12</v>
      </c>
      <c r="AI275" s="5">
        <v>0.459647294455008</v>
      </c>
      <c r="AJ275" s="5">
        <v>-0.47662745733429</v>
      </c>
      <c r="AK275" s="5">
        <v>0.47662745733429</v>
      </c>
      <c r="AL275" s="5">
        <v>0.459647294455008</v>
      </c>
      <c r="AM275" s="5">
        <v>9.90907137329749</v>
      </c>
      <c r="AN275" s="5">
        <v>-0.449718247791216</v>
      </c>
      <c r="AO275" s="5">
        <v>-1.58</v>
      </c>
      <c r="AP275" s="5">
        <v>39741.8973369129</v>
      </c>
      <c r="AQ275" s="5">
        <v>2.73920148528388</v>
      </c>
      <c r="AR275" s="5">
        <v>0</v>
      </c>
      <c r="AS275" s="5">
        <v>4.79453718407182</v>
      </c>
      <c r="AT275" s="5">
        <v>0</v>
      </c>
      <c r="AU275" s="5">
        <v>0</v>
      </c>
      <c r="AV275" s="5">
        <v>0</v>
      </c>
      <c r="AW275" s="5">
        <v>0</v>
      </c>
      <c r="AX275" s="5">
        <v>5.10652739484071</v>
      </c>
      <c r="AY275" s="5">
        <v>-7.69383775037793</v>
      </c>
      <c r="AZ275" s="5">
        <v>0.875</v>
      </c>
      <c r="BA275" s="5">
        <v>1</v>
      </c>
    </row>
    <row r="276" hidden="1" spans="1:53">
      <c r="A276" t="s">
        <v>53</v>
      </c>
      <c r="B276" t="s">
        <v>54</v>
      </c>
      <c r="C276" t="s">
        <v>55</v>
      </c>
      <c r="D276" s="4" t="s">
        <v>67</v>
      </c>
      <c r="E276">
        <v>0.585939999999999</v>
      </c>
      <c r="F276">
        <v>6.7</v>
      </c>
      <c r="G276">
        <v>1</v>
      </c>
      <c r="H276">
        <v>17</v>
      </c>
      <c r="I276">
        <v>44</v>
      </c>
      <c r="J276">
        <v>36</v>
      </c>
      <c r="K276">
        <v>20</v>
      </c>
      <c r="L276" t="s">
        <v>57</v>
      </c>
      <c r="M276" t="s">
        <v>58</v>
      </c>
      <c r="N276" t="s">
        <v>87</v>
      </c>
      <c r="O276">
        <v>1.6753295</v>
      </c>
      <c r="P276">
        <f t="shared" si="11"/>
        <v>2.85921681400826</v>
      </c>
      <c r="Q276">
        <f t="shared" si="10"/>
        <v>1.05054774607455</v>
      </c>
      <c r="R276">
        <v>150</v>
      </c>
      <c r="S276" t="s">
        <v>60</v>
      </c>
      <c r="T276" t="s">
        <v>61</v>
      </c>
      <c r="U276" t="s">
        <v>62</v>
      </c>
      <c r="V276">
        <v>1</v>
      </c>
      <c r="W276">
        <v>0</v>
      </c>
      <c r="X276">
        <v>1</v>
      </c>
      <c r="Y276">
        <v>1</v>
      </c>
      <c r="Z276">
        <v>0</v>
      </c>
      <c r="AA276">
        <v>0</v>
      </c>
      <c r="AB276">
        <v>1</v>
      </c>
      <c r="AC276">
        <v>0</v>
      </c>
      <c r="AD276">
        <v>1</v>
      </c>
      <c r="AE276" s="5">
        <v>13.0371419123205</v>
      </c>
      <c r="AF276" s="5">
        <v>7.66829457707096</v>
      </c>
      <c r="AG276" s="5">
        <v>0.402493807679921</v>
      </c>
      <c r="AH276" s="5">
        <v>16.8965517241379</v>
      </c>
      <c r="AI276" s="5">
        <v>0.459647294440031</v>
      </c>
      <c r="AJ276" s="5">
        <v>-0.280752999575314</v>
      </c>
      <c r="AK276" s="5">
        <v>0.459647294440031</v>
      </c>
      <c r="AL276" s="5">
        <v>0.280752999575314</v>
      </c>
      <c r="AM276" s="5">
        <v>9.90856544965598</v>
      </c>
      <c r="AN276" s="5">
        <v>-0.457885273814649</v>
      </c>
      <c r="AO276" s="5">
        <v>-1.28</v>
      </c>
      <c r="AP276" s="5">
        <v>176558.643253875</v>
      </c>
      <c r="AQ276" s="5">
        <v>3.26474212239717</v>
      </c>
      <c r="AR276" s="5">
        <v>0</v>
      </c>
      <c r="AS276" s="5">
        <v>0</v>
      </c>
      <c r="AT276" s="5">
        <v>0</v>
      </c>
      <c r="AU276" s="5">
        <v>0</v>
      </c>
      <c r="AV276" s="5">
        <v>0</v>
      </c>
      <c r="AW276" s="5">
        <v>0</v>
      </c>
      <c r="AX276" s="5">
        <v>4.55274987369036</v>
      </c>
      <c r="AY276" s="5">
        <v>-7.88274914441085</v>
      </c>
      <c r="AZ276" s="5">
        <v>1</v>
      </c>
      <c r="BA276" s="5">
        <v>1</v>
      </c>
    </row>
    <row r="277" hidden="1" spans="1:53">
      <c r="A277" t="s">
        <v>53</v>
      </c>
      <c r="B277" t="s">
        <v>54</v>
      </c>
      <c r="C277" t="s">
        <v>55</v>
      </c>
      <c r="D277" s="4" t="s">
        <v>68</v>
      </c>
      <c r="E277">
        <v>0.46875</v>
      </c>
      <c r="F277">
        <v>6.7</v>
      </c>
      <c r="G277">
        <v>1</v>
      </c>
      <c r="H277">
        <v>17</v>
      </c>
      <c r="I277">
        <v>44</v>
      </c>
      <c r="J277">
        <v>36</v>
      </c>
      <c r="K277">
        <v>20</v>
      </c>
      <c r="L277" t="s">
        <v>57</v>
      </c>
      <c r="M277" t="s">
        <v>58</v>
      </c>
      <c r="N277" t="s">
        <v>87</v>
      </c>
      <c r="O277">
        <v>0.951238028</v>
      </c>
      <c r="P277">
        <f t="shared" si="11"/>
        <v>2.02930779306667</v>
      </c>
      <c r="Q277">
        <f t="shared" si="10"/>
        <v>0.707694746266741</v>
      </c>
      <c r="R277">
        <v>150</v>
      </c>
      <c r="S277" t="s">
        <v>60</v>
      </c>
      <c r="T277" t="s">
        <v>61</v>
      </c>
      <c r="U277" t="s">
        <v>62</v>
      </c>
      <c r="V277">
        <v>1</v>
      </c>
      <c r="W277">
        <v>0</v>
      </c>
      <c r="X277">
        <v>1</v>
      </c>
      <c r="Y277">
        <v>1</v>
      </c>
      <c r="Z277">
        <v>0</v>
      </c>
      <c r="AA277">
        <v>0</v>
      </c>
      <c r="AB277">
        <v>1</v>
      </c>
      <c r="AC277">
        <v>0</v>
      </c>
      <c r="AD277">
        <v>1</v>
      </c>
      <c r="AE277" s="5">
        <v>12.1252083333333</v>
      </c>
      <c r="AF277" s="5">
        <v>3.79034722222222</v>
      </c>
      <c r="AG277" s="5">
        <v>0.795108310685598</v>
      </c>
      <c r="AH277" s="5">
        <v>15.0625</v>
      </c>
      <c r="AI277" s="5">
        <v>0.459665733935349</v>
      </c>
      <c r="AJ277" s="5">
        <v>-0.476627440416371</v>
      </c>
      <c r="AK277" s="5">
        <v>0.476627440416371</v>
      </c>
      <c r="AL277" s="5">
        <v>0.459665733935349</v>
      </c>
      <c r="AM277" s="5">
        <v>10.044436145131</v>
      </c>
      <c r="AN277" s="5">
        <v>-0.389909625311938</v>
      </c>
      <c r="AO277" s="5">
        <v>-1.16</v>
      </c>
      <c r="AP277" s="5">
        <v>939.726830541714</v>
      </c>
      <c r="AQ277" s="5">
        <v>1.77550667912426</v>
      </c>
      <c r="AR277" s="5">
        <v>0</v>
      </c>
      <c r="AS277" s="5">
        <v>4.79453718407182</v>
      </c>
      <c r="AT277" s="5">
        <v>0</v>
      </c>
      <c r="AU277" s="5">
        <v>0</v>
      </c>
      <c r="AV277" s="5">
        <v>0</v>
      </c>
      <c r="AW277" s="5">
        <v>0</v>
      </c>
      <c r="AX277" s="5">
        <v>5.10652739484071</v>
      </c>
      <c r="AY277" s="5">
        <v>-7.00458333333333</v>
      </c>
      <c r="AZ277" s="5">
        <v>0.8</v>
      </c>
      <c r="BA277" s="5">
        <v>1</v>
      </c>
    </row>
    <row r="278" hidden="1" spans="1:53">
      <c r="A278" t="s">
        <v>53</v>
      </c>
      <c r="B278" t="s">
        <v>69</v>
      </c>
      <c r="C278" t="s">
        <v>55</v>
      </c>
      <c r="D278" s="4" t="s">
        <v>56</v>
      </c>
      <c r="E278">
        <v>0.269531</v>
      </c>
      <c r="F278">
        <v>6.7</v>
      </c>
      <c r="G278">
        <v>1</v>
      </c>
      <c r="H278">
        <v>17</v>
      </c>
      <c r="I278">
        <v>44</v>
      </c>
      <c r="J278">
        <v>36</v>
      </c>
      <c r="K278">
        <v>20</v>
      </c>
      <c r="L278" t="s">
        <v>57</v>
      </c>
      <c r="M278" t="s">
        <v>58</v>
      </c>
      <c r="N278" t="s">
        <v>87</v>
      </c>
      <c r="O278">
        <v>4.2068376588</v>
      </c>
      <c r="P278">
        <f t="shared" si="11"/>
        <v>15.6079918777432</v>
      </c>
      <c r="Q278">
        <f t="shared" si="10"/>
        <v>2.74778308293005</v>
      </c>
      <c r="R278">
        <v>150</v>
      </c>
      <c r="S278" t="s">
        <v>60</v>
      </c>
      <c r="T278" t="s">
        <v>61</v>
      </c>
      <c r="U278" t="s">
        <v>62</v>
      </c>
      <c r="V278">
        <v>1</v>
      </c>
      <c r="W278">
        <v>0</v>
      </c>
      <c r="X278">
        <v>1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1</v>
      </c>
      <c r="AE278" s="5">
        <v>11.7505787037037</v>
      </c>
      <c r="AF278" s="5">
        <v>3.53256944444444</v>
      </c>
      <c r="AG278" s="5">
        <v>0.712441776552488</v>
      </c>
      <c r="AH278" s="5">
        <v>14.3846153846154</v>
      </c>
      <c r="AI278" s="5">
        <v>0.460094687009651</v>
      </c>
      <c r="AJ278" s="5">
        <v>-0.476625664235965</v>
      </c>
      <c r="AK278" s="5">
        <v>0.476625664235965</v>
      </c>
      <c r="AL278" s="5">
        <v>0.460094687009651</v>
      </c>
      <c r="AM278" s="5">
        <v>10.1473915373546</v>
      </c>
      <c r="AN278" s="5">
        <v>-0.347050241178715</v>
      </c>
      <c r="AO278" s="5">
        <v>-1.02</v>
      </c>
      <c r="AP278" s="5">
        <v>260.658615872357</v>
      </c>
      <c r="AQ278" s="5">
        <v>1.67669845728037</v>
      </c>
      <c r="AR278" s="5">
        <v>0</v>
      </c>
      <c r="AS278" s="5">
        <v>4.79453718407182</v>
      </c>
      <c r="AT278" s="5">
        <v>0</v>
      </c>
      <c r="AU278" s="5">
        <v>0</v>
      </c>
      <c r="AV278" s="5">
        <v>0</v>
      </c>
      <c r="AW278" s="5">
        <v>0</v>
      </c>
      <c r="AX278" s="5">
        <v>5.10652739484071</v>
      </c>
      <c r="AY278" s="5">
        <v>-6.60229166666667</v>
      </c>
      <c r="AZ278" s="5">
        <v>0.75</v>
      </c>
      <c r="BA278" s="5">
        <v>1</v>
      </c>
    </row>
    <row r="279" hidden="1" spans="1:53">
      <c r="A279" t="s">
        <v>53</v>
      </c>
      <c r="B279" t="s">
        <v>69</v>
      </c>
      <c r="C279" t="s">
        <v>55</v>
      </c>
      <c r="D279" s="4" t="s">
        <v>63</v>
      </c>
      <c r="E279">
        <v>1.429689</v>
      </c>
      <c r="F279">
        <v>6.7</v>
      </c>
      <c r="G279">
        <v>1</v>
      </c>
      <c r="H279">
        <v>17</v>
      </c>
      <c r="I279">
        <v>44</v>
      </c>
      <c r="J279">
        <v>36</v>
      </c>
      <c r="K279">
        <v>20</v>
      </c>
      <c r="L279" t="s">
        <v>57</v>
      </c>
      <c r="M279" t="s">
        <v>58</v>
      </c>
      <c r="N279" t="s">
        <v>87</v>
      </c>
      <c r="O279">
        <v>0.2241893682</v>
      </c>
      <c r="P279">
        <f t="shared" si="11"/>
        <v>0.156809885366678</v>
      </c>
      <c r="Q279">
        <f t="shared" si="10"/>
        <v>-1.8527211286227</v>
      </c>
      <c r="R279">
        <v>150</v>
      </c>
      <c r="S279" t="s">
        <v>60</v>
      </c>
      <c r="T279" t="s">
        <v>61</v>
      </c>
      <c r="U279" t="s">
        <v>62</v>
      </c>
      <c r="V279">
        <v>1</v>
      </c>
      <c r="W279">
        <v>0</v>
      </c>
      <c r="X279">
        <v>1</v>
      </c>
      <c r="Y279">
        <v>1</v>
      </c>
      <c r="Z279">
        <v>0</v>
      </c>
      <c r="AA279">
        <v>0</v>
      </c>
      <c r="AB279">
        <v>1</v>
      </c>
      <c r="AC279">
        <v>0</v>
      </c>
      <c r="AD279">
        <v>1</v>
      </c>
      <c r="AE279" s="5">
        <v>12.2120833333333</v>
      </c>
      <c r="AF279" s="5">
        <v>7.00097222222222</v>
      </c>
      <c r="AG279" s="5">
        <v>0.642528075697275</v>
      </c>
      <c r="AH279" s="5">
        <v>16.1176470588235</v>
      </c>
      <c r="AI279" s="5">
        <v>0.459694901747447</v>
      </c>
      <c r="AJ279" s="5">
        <v>-0.280752981483328</v>
      </c>
      <c r="AK279" s="5">
        <v>0.459694901747447</v>
      </c>
      <c r="AL279" s="5">
        <v>0.280752981483328</v>
      </c>
      <c r="AM279" s="5">
        <v>10.1452721658031</v>
      </c>
      <c r="AN279" s="5">
        <v>-0.382289160206052</v>
      </c>
      <c r="AO279" s="5">
        <v>-0.72</v>
      </c>
      <c r="AP279" s="5">
        <v>1212.20967645111</v>
      </c>
      <c r="AQ279" s="5">
        <v>2.16502218725737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4.55274987369036</v>
      </c>
      <c r="AY279" s="5">
        <v>-7.13430555555556</v>
      </c>
      <c r="AZ279" s="5">
        <v>1</v>
      </c>
      <c r="BA279" s="5">
        <v>1</v>
      </c>
    </row>
    <row r="280" hidden="1" spans="1:53">
      <c r="A280" t="s">
        <v>53</v>
      </c>
      <c r="B280" t="s">
        <v>69</v>
      </c>
      <c r="C280" t="s">
        <v>55</v>
      </c>
      <c r="D280" s="4" t="s">
        <v>64</v>
      </c>
      <c r="E280">
        <v>0.29297</v>
      </c>
      <c r="F280">
        <v>6.7</v>
      </c>
      <c r="G280">
        <v>1</v>
      </c>
      <c r="H280">
        <v>17</v>
      </c>
      <c r="I280">
        <v>44</v>
      </c>
      <c r="J280">
        <v>36</v>
      </c>
      <c r="K280">
        <v>20</v>
      </c>
      <c r="L280" t="s">
        <v>57</v>
      </c>
      <c r="M280" t="s">
        <v>58</v>
      </c>
      <c r="N280" t="s">
        <v>87</v>
      </c>
      <c r="O280">
        <v>0.2435869044</v>
      </c>
      <c r="P280">
        <f t="shared" si="11"/>
        <v>0.831439752875721</v>
      </c>
      <c r="Q280">
        <f t="shared" si="10"/>
        <v>-0.184596438926444</v>
      </c>
      <c r="R280">
        <v>150</v>
      </c>
      <c r="S280" t="s">
        <v>60</v>
      </c>
      <c r="T280" t="s">
        <v>61</v>
      </c>
      <c r="U280" t="s">
        <v>62</v>
      </c>
      <c r="V280">
        <v>1</v>
      </c>
      <c r="W280">
        <v>0</v>
      </c>
      <c r="X280">
        <v>1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1</v>
      </c>
      <c r="AE280" s="5">
        <v>12.3952083333333</v>
      </c>
      <c r="AF280" s="5">
        <v>3.99060232426304</v>
      </c>
      <c r="AG280" s="5">
        <v>0.809418673219238</v>
      </c>
      <c r="AH280" s="5">
        <v>15.5263157894737</v>
      </c>
      <c r="AI280" s="5">
        <v>0.459647654411774</v>
      </c>
      <c r="AJ280" s="5">
        <v>-0.476627457257861</v>
      </c>
      <c r="AK280" s="5">
        <v>0.476627457257861</v>
      </c>
      <c r="AL280" s="5">
        <v>0.459647654411774</v>
      </c>
      <c r="AM280" s="5">
        <v>9.98060231888395</v>
      </c>
      <c r="AN280" s="5">
        <v>-0.417658943556199</v>
      </c>
      <c r="AO280" s="5">
        <v>-1.3</v>
      </c>
      <c r="AP280" s="5">
        <v>3314.44680161703</v>
      </c>
      <c r="AQ280" s="5">
        <v>2.17852386673025</v>
      </c>
      <c r="AR280" s="5">
        <v>0</v>
      </c>
      <c r="AS280" s="5">
        <v>4.79453718407182</v>
      </c>
      <c r="AT280" s="5">
        <v>0</v>
      </c>
      <c r="AU280" s="5">
        <v>0</v>
      </c>
      <c r="AV280" s="5">
        <v>0</v>
      </c>
      <c r="AW280" s="5">
        <v>0</v>
      </c>
      <c r="AX280" s="5">
        <v>5.10652739484071</v>
      </c>
      <c r="AY280" s="5">
        <v>-7.29710978835979</v>
      </c>
      <c r="AZ280" s="5">
        <v>0.833333333333333</v>
      </c>
      <c r="BA280" s="5">
        <v>1</v>
      </c>
    </row>
    <row r="281" hidden="1" spans="1:53">
      <c r="A281" t="s">
        <v>53</v>
      </c>
      <c r="B281" t="s">
        <v>69</v>
      </c>
      <c r="C281" t="s">
        <v>55</v>
      </c>
      <c r="D281" s="4" t="s">
        <v>65</v>
      </c>
      <c r="E281">
        <v>0.43359</v>
      </c>
      <c r="F281">
        <v>6.7</v>
      </c>
      <c r="G281">
        <v>1</v>
      </c>
      <c r="H281">
        <v>17</v>
      </c>
      <c r="I281">
        <v>44</v>
      </c>
      <c r="J281">
        <v>36</v>
      </c>
      <c r="K281">
        <v>20</v>
      </c>
      <c r="L281" t="s">
        <v>57</v>
      </c>
      <c r="M281" t="s">
        <v>58</v>
      </c>
      <c r="N281" t="s">
        <v>87</v>
      </c>
      <c r="O281">
        <v>0.2143744232</v>
      </c>
      <c r="P281">
        <f t="shared" si="11"/>
        <v>0.494417360178971</v>
      </c>
      <c r="Q281">
        <f t="shared" si="10"/>
        <v>-0.704375259824521</v>
      </c>
      <c r="R281">
        <v>150</v>
      </c>
      <c r="S281" t="s">
        <v>60</v>
      </c>
      <c r="T281" t="s">
        <v>61</v>
      </c>
      <c r="U281" t="s">
        <v>62</v>
      </c>
      <c r="V281">
        <v>1</v>
      </c>
      <c r="W281">
        <v>0</v>
      </c>
      <c r="X281">
        <v>1</v>
      </c>
      <c r="Y281">
        <v>1</v>
      </c>
      <c r="Z281">
        <v>0</v>
      </c>
      <c r="AA281">
        <v>0</v>
      </c>
      <c r="AB281">
        <v>1</v>
      </c>
      <c r="AC281">
        <v>0</v>
      </c>
      <c r="AD281">
        <v>1</v>
      </c>
      <c r="AE281" s="5">
        <v>12.6956944444444</v>
      </c>
      <c r="AF281" s="5">
        <v>7.51923752834467</v>
      </c>
      <c r="AG281" s="5">
        <v>0.567423483996869</v>
      </c>
      <c r="AH281" s="5">
        <v>16.6086956521739</v>
      </c>
      <c r="AI281" s="5">
        <v>0.459647303367286</v>
      </c>
      <c r="AJ281" s="5">
        <v>-0.280752999575136</v>
      </c>
      <c r="AK281" s="5">
        <v>0.459647303367286</v>
      </c>
      <c r="AL281" s="5">
        <v>0.280752999575136</v>
      </c>
      <c r="AM281" s="5">
        <v>9.97962409166519</v>
      </c>
      <c r="AN281" s="5">
        <v>-0.433260944725331</v>
      </c>
      <c r="AO281" s="5">
        <v>-1</v>
      </c>
      <c r="AP281" s="5">
        <v>14934.5346948423</v>
      </c>
      <c r="AQ281" s="5">
        <v>2.69882520469918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4.55274987369036</v>
      </c>
      <c r="AY281" s="5">
        <v>-7.5938637329932</v>
      </c>
      <c r="AZ281" s="5">
        <v>1</v>
      </c>
      <c r="BA281" s="5">
        <v>1</v>
      </c>
    </row>
    <row r="282" hidden="1" spans="1:53">
      <c r="A282" t="s">
        <v>53</v>
      </c>
      <c r="B282" t="s">
        <v>69</v>
      </c>
      <c r="C282" t="s">
        <v>55</v>
      </c>
      <c r="D282" s="4" t="s">
        <v>66</v>
      </c>
      <c r="E282">
        <v>0.5625</v>
      </c>
      <c r="F282">
        <v>6.7</v>
      </c>
      <c r="G282">
        <v>1</v>
      </c>
      <c r="H282">
        <v>17</v>
      </c>
      <c r="I282">
        <v>44</v>
      </c>
      <c r="J282">
        <v>36</v>
      </c>
      <c r="K282">
        <v>20</v>
      </c>
      <c r="L282" t="s">
        <v>57</v>
      </c>
      <c r="M282" t="s">
        <v>58</v>
      </c>
      <c r="N282" t="s">
        <v>87</v>
      </c>
      <c r="O282">
        <v>0.711851921199999</v>
      </c>
      <c r="P282">
        <f t="shared" si="11"/>
        <v>1.26551452657778</v>
      </c>
      <c r="Q282">
        <f t="shared" si="10"/>
        <v>0.235478779860728</v>
      </c>
      <c r="R282">
        <v>150</v>
      </c>
      <c r="S282" t="s">
        <v>60</v>
      </c>
      <c r="T282" t="s">
        <v>61</v>
      </c>
      <c r="U282" t="s">
        <v>62</v>
      </c>
      <c r="V282">
        <v>1</v>
      </c>
      <c r="W282">
        <v>0</v>
      </c>
      <c r="X282">
        <v>1</v>
      </c>
      <c r="Y282">
        <v>1</v>
      </c>
      <c r="Z282">
        <v>0</v>
      </c>
      <c r="AA282">
        <v>0</v>
      </c>
      <c r="AB282">
        <v>1</v>
      </c>
      <c r="AC282">
        <v>0</v>
      </c>
      <c r="AD282">
        <v>1</v>
      </c>
      <c r="AE282" s="5">
        <v>12.8254166666667</v>
      </c>
      <c r="AF282" s="5">
        <v>4.27882137345679</v>
      </c>
      <c r="AG282" s="5">
        <v>0.653062667189842</v>
      </c>
      <c r="AH282" s="5">
        <v>16.12</v>
      </c>
      <c r="AI282" s="5">
        <v>0.459647294455008</v>
      </c>
      <c r="AJ282" s="5">
        <v>-0.47662745733429</v>
      </c>
      <c r="AK282" s="5">
        <v>0.47662745733429</v>
      </c>
      <c r="AL282" s="5">
        <v>0.459647294455008</v>
      </c>
      <c r="AM282" s="5">
        <v>9.90907137329749</v>
      </c>
      <c r="AN282" s="5">
        <v>-0.449718247791216</v>
      </c>
      <c r="AO282" s="5">
        <v>-1.58</v>
      </c>
      <c r="AP282" s="5">
        <v>39741.8973369129</v>
      </c>
      <c r="AQ282" s="5">
        <v>2.73920148528388</v>
      </c>
      <c r="AR282" s="5">
        <v>0</v>
      </c>
      <c r="AS282" s="5">
        <v>4.79453718407182</v>
      </c>
      <c r="AT282" s="5">
        <v>0</v>
      </c>
      <c r="AU282" s="5">
        <v>0</v>
      </c>
      <c r="AV282" s="5">
        <v>0</v>
      </c>
      <c r="AW282" s="5">
        <v>0</v>
      </c>
      <c r="AX282" s="5">
        <v>5.10652739484071</v>
      </c>
      <c r="AY282" s="5">
        <v>-7.69383775037793</v>
      </c>
      <c r="AZ282" s="5">
        <v>0.875</v>
      </c>
      <c r="BA282" s="5">
        <v>1</v>
      </c>
    </row>
    <row r="283" hidden="1" spans="1:53">
      <c r="A283" t="s">
        <v>53</v>
      </c>
      <c r="B283" t="s">
        <v>69</v>
      </c>
      <c r="C283" t="s">
        <v>55</v>
      </c>
      <c r="D283" s="4" t="s">
        <v>67</v>
      </c>
      <c r="E283">
        <v>0.25781</v>
      </c>
      <c r="F283">
        <v>6.7</v>
      </c>
      <c r="G283">
        <v>1</v>
      </c>
      <c r="H283">
        <v>17</v>
      </c>
      <c r="I283">
        <v>44</v>
      </c>
      <c r="J283">
        <v>36</v>
      </c>
      <c r="K283">
        <v>20</v>
      </c>
      <c r="L283" t="s">
        <v>57</v>
      </c>
      <c r="M283" t="s">
        <v>58</v>
      </c>
      <c r="N283" t="s">
        <v>87</v>
      </c>
      <c r="O283">
        <v>1.4814237312</v>
      </c>
      <c r="P283">
        <f t="shared" si="11"/>
        <v>5.74618413250068</v>
      </c>
      <c r="Q283">
        <f t="shared" si="10"/>
        <v>1.74853600537966</v>
      </c>
      <c r="R283">
        <v>150</v>
      </c>
      <c r="S283" t="s">
        <v>60</v>
      </c>
      <c r="T283" t="s">
        <v>61</v>
      </c>
      <c r="U283" t="s">
        <v>62</v>
      </c>
      <c r="V283">
        <v>1</v>
      </c>
      <c r="W283">
        <v>0</v>
      </c>
      <c r="X283">
        <v>1</v>
      </c>
      <c r="Y283">
        <v>1</v>
      </c>
      <c r="Z283">
        <v>0</v>
      </c>
      <c r="AA283">
        <v>0</v>
      </c>
      <c r="AB283">
        <v>1</v>
      </c>
      <c r="AC283">
        <v>0</v>
      </c>
      <c r="AD283">
        <v>1</v>
      </c>
      <c r="AE283" s="5">
        <v>13.0371419123205</v>
      </c>
      <c r="AF283" s="5">
        <v>7.66829457707096</v>
      </c>
      <c r="AG283" s="5">
        <v>0.402493807679921</v>
      </c>
      <c r="AH283" s="5">
        <v>16.8965517241379</v>
      </c>
      <c r="AI283" s="5">
        <v>0.459647294440031</v>
      </c>
      <c r="AJ283" s="5">
        <v>-0.280752999575314</v>
      </c>
      <c r="AK283" s="5">
        <v>0.459647294440031</v>
      </c>
      <c r="AL283" s="5">
        <v>0.280752999575314</v>
      </c>
      <c r="AM283" s="5">
        <v>9.90856544965598</v>
      </c>
      <c r="AN283" s="5">
        <v>-0.457885273814649</v>
      </c>
      <c r="AO283" s="5">
        <v>-1.28</v>
      </c>
      <c r="AP283" s="5">
        <v>176558.643253875</v>
      </c>
      <c r="AQ283" s="5">
        <v>3.26474212239717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4.55274987369036</v>
      </c>
      <c r="AY283" s="5">
        <v>-7.88274914441085</v>
      </c>
      <c r="AZ283" s="5">
        <v>1</v>
      </c>
      <c r="BA283" s="5">
        <v>1</v>
      </c>
    </row>
    <row r="284" hidden="1" spans="1:53">
      <c r="A284" t="s">
        <v>53</v>
      </c>
      <c r="B284" t="s">
        <v>69</v>
      </c>
      <c r="C284" t="s">
        <v>55</v>
      </c>
      <c r="D284" s="4" t="s">
        <v>68</v>
      </c>
      <c r="E284">
        <v>0.58594</v>
      </c>
      <c r="F284">
        <v>6.7</v>
      </c>
      <c r="G284">
        <v>1</v>
      </c>
      <c r="H284">
        <v>17</v>
      </c>
      <c r="I284">
        <v>44</v>
      </c>
      <c r="J284">
        <v>36</v>
      </c>
      <c r="K284">
        <v>20</v>
      </c>
      <c r="L284" t="s">
        <v>57</v>
      </c>
      <c r="M284" t="s">
        <v>58</v>
      </c>
      <c r="N284" t="s">
        <v>87</v>
      </c>
      <c r="O284">
        <v>0.929935993</v>
      </c>
      <c r="P284">
        <f t="shared" si="11"/>
        <v>1.58708398982831</v>
      </c>
      <c r="Q284">
        <f t="shared" si="10"/>
        <v>0.461898363791194</v>
      </c>
      <c r="R284">
        <v>150</v>
      </c>
      <c r="S284" t="s">
        <v>60</v>
      </c>
      <c r="T284" t="s">
        <v>61</v>
      </c>
      <c r="U284" t="s">
        <v>62</v>
      </c>
      <c r="V284">
        <v>1</v>
      </c>
      <c r="W284">
        <v>0</v>
      </c>
      <c r="X284">
        <v>1</v>
      </c>
      <c r="Y284">
        <v>1</v>
      </c>
      <c r="Z284">
        <v>0</v>
      </c>
      <c r="AA284">
        <v>0</v>
      </c>
      <c r="AB284">
        <v>1</v>
      </c>
      <c r="AC284">
        <v>0</v>
      </c>
      <c r="AD284">
        <v>1</v>
      </c>
      <c r="AE284" s="5">
        <v>12.1252083333333</v>
      </c>
      <c r="AF284" s="5">
        <v>3.79034722222222</v>
      </c>
      <c r="AG284" s="5">
        <v>0.795108310685598</v>
      </c>
      <c r="AH284" s="5">
        <v>15.0625</v>
      </c>
      <c r="AI284" s="5">
        <v>0.459665733935349</v>
      </c>
      <c r="AJ284" s="5">
        <v>-0.476627440416371</v>
      </c>
      <c r="AK284" s="5">
        <v>0.476627440416371</v>
      </c>
      <c r="AL284" s="5">
        <v>0.459665733935349</v>
      </c>
      <c r="AM284" s="5">
        <v>10.044436145131</v>
      </c>
      <c r="AN284" s="5">
        <v>-0.389909625311938</v>
      </c>
      <c r="AO284" s="5">
        <v>-1.16</v>
      </c>
      <c r="AP284" s="5">
        <v>939.726830541714</v>
      </c>
      <c r="AQ284" s="5">
        <v>1.77550667912426</v>
      </c>
      <c r="AR284" s="5">
        <v>0</v>
      </c>
      <c r="AS284" s="5">
        <v>4.79453718407182</v>
      </c>
      <c r="AT284" s="5">
        <v>0</v>
      </c>
      <c r="AU284" s="5">
        <v>0</v>
      </c>
      <c r="AV284" s="5">
        <v>0</v>
      </c>
      <c r="AW284" s="5">
        <v>0</v>
      </c>
      <c r="AX284" s="5">
        <v>5.10652739484071</v>
      </c>
      <c r="AY284" s="5">
        <v>-7.00458333333333</v>
      </c>
      <c r="AZ284" s="5">
        <v>0.8</v>
      </c>
      <c r="BA284" s="5">
        <v>1</v>
      </c>
    </row>
    <row r="285" hidden="1" spans="1:53">
      <c r="A285" t="s">
        <v>53</v>
      </c>
      <c r="B285" t="s">
        <v>70</v>
      </c>
      <c r="C285" t="s">
        <v>55</v>
      </c>
      <c r="D285" s="4" t="s">
        <v>63</v>
      </c>
      <c r="E285">
        <v>0.269536</v>
      </c>
      <c r="F285">
        <v>6.7</v>
      </c>
      <c r="G285">
        <v>1</v>
      </c>
      <c r="H285">
        <v>17</v>
      </c>
      <c r="I285">
        <v>44</v>
      </c>
      <c r="J285">
        <v>36</v>
      </c>
      <c r="K285">
        <v>20</v>
      </c>
      <c r="L285" t="s">
        <v>57</v>
      </c>
      <c r="M285" t="s">
        <v>58</v>
      </c>
      <c r="N285" t="s">
        <v>87</v>
      </c>
      <c r="O285">
        <v>0.15321328887</v>
      </c>
      <c r="P285">
        <f t="shared" si="11"/>
        <v>0.568433488921702</v>
      </c>
      <c r="Q285">
        <f t="shared" si="10"/>
        <v>-0.56487096661705</v>
      </c>
      <c r="R285">
        <v>150</v>
      </c>
      <c r="S285" t="s">
        <v>60</v>
      </c>
      <c r="T285" t="s">
        <v>61</v>
      </c>
      <c r="U285" t="s">
        <v>62</v>
      </c>
      <c r="V285">
        <v>1</v>
      </c>
      <c r="W285">
        <v>0</v>
      </c>
      <c r="X285">
        <v>1</v>
      </c>
      <c r="Y285">
        <v>1</v>
      </c>
      <c r="Z285">
        <v>0</v>
      </c>
      <c r="AA285">
        <v>0</v>
      </c>
      <c r="AB285">
        <v>1</v>
      </c>
      <c r="AC285">
        <v>0</v>
      </c>
      <c r="AD285">
        <v>1</v>
      </c>
      <c r="AE285" s="5">
        <v>12.2120833333333</v>
      </c>
      <c r="AF285" s="5">
        <v>7.00097222222222</v>
      </c>
      <c r="AG285" s="5">
        <v>0.642528075697275</v>
      </c>
      <c r="AH285" s="5">
        <v>16.1176470588235</v>
      </c>
      <c r="AI285" s="5">
        <v>0.459694901747447</v>
      </c>
      <c r="AJ285" s="5">
        <v>-0.280752981483328</v>
      </c>
      <c r="AK285" s="5">
        <v>0.459694901747447</v>
      </c>
      <c r="AL285" s="5">
        <v>0.280752981483328</v>
      </c>
      <c r="AM285" s="5">
        <v>10.1452721658031</v>
      </c>
      <c r="AN285" s="5">
        <v>-0.382289160206052</v>
      </c>
      <c r="AO285" s="5">
        <v>-0.72</v>
      </c>
      <c r="AP285" s="5">
        <v>1212.20967645111</v>
      </c>
      <c r="AQ285" s="5">
        <v>2.16502218725737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4.55274987369036</v>
      </c>
      <c r="AY285" s="5">
        <v>-7.13430555555556</v>
      </c>
      <c r="AZ285" s="5">
        <v>1</v>
      </c>
      <c r="BA285" s="5">
        <v>1</v>
      </c>
    </row>
    <row r="286" hidden="1" spans="1:53">
      <c r="A286" t="s">
        <v>53</v>
      </c>
      <c r="B286" t="s">
        <v>70</v>
      </c>
      <c r="C286" t="s">
        <v>55</v>
      </c>
      <c r="D286" s="4" t="s">
        <v>64</v>
      </c>
      <c r="E286">
        <v>0.0586</v>
      </c>
      <c r="F286">
        <v>6.7</v>
      </c>
      <c r="G286">
        <v>1</v>
      </c>
      <c r="H286">
        <v>17</v>
      </c>
      <c r="I286">
        <v>44</v>
      </c>
      <c r="J286">
        <v>36</v>
      </c>
      <c r="K286">
        <v>20</v>
      </c>
      <c r="L286" t="s">
        <v>57</v>
      </c>
      <c r="M286" t="s">
        <v>58</v>
      </c>
      <c r="N286" t="s">
        <v>87</v>
      </c>
      <c r="O286">
        <v>0.19246293153</v>
      </c>
      <c r="P286">
        <f t="shared" si="11"/>
        <v>3.28435036740614</v>
      </c>
      <c r="Q286">
        <f t="shared" si="10"/>
        <v>1.18916887512163</v>
      </c>
      <c r="R286">
        <v>150</v>
      </c>
      <c r="S286" t="s">
        <v>60</v>
      </c>
      <c r="T286" t="s">
        <v>61</v>
      </c>
      <c r="U286" t="s">
        <v>62</v>
      </c>
      <c r="V286">
        <v>1</v>
      </c>
      <c r="W286">
        <v>0</v>
      </c>
      <c r="X286">
        <v>1</v>
      </c>
      <c r="Y286">
        <v>1</v>
      </c>
      <c r="Z286">
        <v>0</v>
      </c>
      <c r="AA286">
        <v>0</v>
      </c>
      <c r="AB286">
        <v>1</v>
      </c>
      <c r="AC286">
        <v>0</v>
      </c>
      <c r="AD286">
        <v>1</v>
      </c>
      <c r="AE286" s="5">
        <v>12.3952083333333</v>
      </c>
      <c r="AF286" s="5">
        <v>3.99060232426304</v>
      </c>
      <c r="AG286" s="5">
        <v>0.809418673219238</v>
      </c>
      <c r="AH286" s="5">
        <v>15.5263157894737</v>
      </c>
      <c r="AI286" s="5">
        <v>0.459647654411774</v>
      </c>
      <c r="AJ286" s="5">
        <v>-0.476627457257861</v>
      </c>
      <c r="AK286" s="5">
        <v>0.476627457257861</v>
      </c>
      <c r="AL286" s="5">
        <v>0.459647654411774</v>
      </c>
      <c r="AM286" s="5">
        <v>9.98060231888395</v>
      </c>
      <c r="AN286" s="5">
        <v>-0.417658943556199</v>
      </c>
      <c r="AO286" s="5">
        <v>-1.3</v>
      </c>
      <c r="AP286" s="5">
        <v>3314.44680161703</v>
      </c>
      <c r="AQ286" s="5">
        <v>2.17852386673025</v>
      </c>
      <c r="AR286" s="5">
        <v>0</v>
      </c>
      <c r="AS286" s="5">
        <v>4.79453718407182</v>
      </c>
      <c r="AT286" s="5">
        <v>0</v>
      </c>
      <c r="AU286" s="5">
        <v>0</v>
      </c>
      <c r="AV286" s="5">
        <v>0</v>
      </c>
      <c r="AW286" s="5">
        <v>0</v>
      </c>
      <c r="AX286" s="5">
        <v>5.10652739484071</v>
      </c>
      <c r="AY286" s="5">
        <v>-7.29710978835979</v>
      </c>
      <c r="AZ286" s="5">
        <v>0.833333333333333</v>
      </c>
      <c r="BA286" s="5">
        <v>1</v>
      </c>
    </row>
    <row r="287" hidden="1" spans="1:53">
      <c r="A287" t="s">
        <v>53</v>
      </c>
      <c r="B287" t="s">
        <v>70</v>
      </c>
      <c r="C287" t="s">
        <v>55</v>
      </c>
      <c r="D287" s="4" t="s">
        <v>65</v>
      </c>
      <c r="E287">
        <v>0.08203</v>
      </c>
      <c r="F287">
        <v>6.7</v>
      </c>
      <c r="G287">
        <v>1</v>
      </c>
      <c r="H287">
        <v>17</v>
      </c>
      <c r="I287">
        <v>44</v>
      </c>
      <c r="J287">
        <v>36</v>
      </c>
      <c r="K287">
        <v>20</v>
      </c>
      <c r="L287" t="s">
        <v>57</v>
      </c>
      <c r="M287" t="s">
        <v>58</v>
      </c>
      <c r="N287" t="s">
        <v>87</v>
      </c>
      <c r="O287">
        <v>0.1538626733</v>
      </c>
      <c r="P287">
        <f t="shared" si="11"/>
        <v>1.87568783737657</v>
      </c>
      <c r="Q287">
        <f t="shared" si="10"/>
        <v>0.628975438751449</v>
      </c>
      <c r="R287">
        <v>150</v>
      </c>
      <c r="S287" t="s">
        <v>60</v>
      </c>
      <c r="T287" t="s">
        <v>61</v>
      </c>
      <c r="U287" t="s">
        <v>62</v>
      </c>
      <c r="V287">
        <v>1</v>
      </c>
      <c r="W287">
        <v>0</v>
      </c>
      <c r="X287">
        <v>1</v>
      </c>
      <c r="Y287">
        <v>1</v>
      </c>
      <c r="Z287">
        <v>0</v>
      </c>
      <c r="AA287">
        <v>0</v>
      </c>
      <c r="AB287">
        <v>1</v>
      </c>
      <c r="AC287">
        <v>0</v>
      </c>
      <c r="AD287">
        <v>1</v>
      </c>
      <c r="AE287" s="5">
        <v>12.6956944444444</v>
      </c>
      <c r="AF287" s="5">
        <v>7.51923752834467</v>
      </c>
      <c r="AG287" s="5">
        <v>0.567423483996869</v>
      </c>
      <c r="AH287" s="5">
        <v>16.6086956521739</v>
      </c>
      <c r="AI287" s="5">
        <v>0.459647303367286</v>
      </c>
      <c r="AJ287" s="5">
        <v>-0.280752999575136</v>
      </c>
      <c r="AK287" s="5">
        <v>0.459647303367286</v>
      </c>
      <c r="AL287" s="5">
        <v>0.280752999575136</v>
      </c>
      <c r="AM287" s="5">
        <v>9.97962409166519</v>
      </c>
      <c r="AN287" s="5">
        <v>-0.433260944725331</v>
      </c>
      <c r="AO287" s="5">
        <v>-1</v>
      </c>
      <c r="AP287" s="5">
        <v>14934.5346948423</v>
      </c>
      <c r="AQ287" s="5">
        <v>2.69882520469918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4.55274987369036</v>
      </c>
      <c r="AY287" s="5">
        <v>-7.5938637329932</v>
      </c>
      <c r="AZ287" s="5">
        <v>1</v>
      </c>
      <c r="BA287" s="5">
        <v>1</v>
      </c>
    </row>
    <row r="288" hidden="1" spans="1:53">
      <c r="A288" t="s">
        <v>53</v>
      </c>
      <c r="B288" t="s">
        <v>70</v>
      </c>
      <c r="C288" t="s">
        <v>55</v>
      </c>
      <c r="D288" s="4" t="s">
        <v>66</v>
      </c>
      <c r="E288">
        <v>0.29297</v>
      </c>
      <c r="F288">
        <v>6.7</v>
      </c>
      <c r="G288">
        <v>1</v>
      </c>
      <c r="H288">
        <v>17</v>
      </c>
      <c r="I288">
        <v>44</v>
      </c>
      <c r="J288">
        <v>36</v>
      </c>
      <c r="K288">
        <v>20</v>
      </c>
      <c r="L288" t="s">
        <v>57</v>
      </c>
      <c r="M288" t="s">
        <v>58</v>
      </c>
      <c r="N288" t="s">
        <v>87</v>
      </c>
      <c r="O288">
        <v>0.5849046365</v>
      </c>
      <c r="P288">
        <f t="shared" si="11"/>
        <v>1.99646597433184</v>
      </c>
      <c r="Q288">
        <f t="shared" si="10"/>
        <v>0.69137860471718</v>
      </c>
      <c r="R288">
        <v>150</v>
      </c>
      <c r="S288" t="s">
        <v>60</v>
      </c>
      <c r="T288" t="s">
        <v>61</v>
      </c>
      <c r="U288" t="s">
        <v>62</v>
      </c>
      <c r="V288">
        <v>1</v>
      </c>
      <c r="W288">
        <v>0</v>
      </c>
      <c r="X288">
        <v>1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1</v>
      </c>
      <c r="AE288" s="5">
        <v>12.8254166666667</v>
      </c>
      <c r="AF288" s="5">
        <v>4.27882137345679</v>
      </c>
      <c r="AG288" s="5">
        <v>0.653062667189842</v>
      </c>
      <c r="AH288" s="5">
        <v>16.12</v>
      </c>
      <c r="AI288" s="5">
        <v>0.459647294455008</v>
      </c>
      <c r="AJ288" s="5">
        <v>-0.47662745733429</v>
      </c>
      <c r="AK288" s="5">
        <v>0.47662745733429</v>
      </c>
      <c r="AL288" s="5">
        <v>0.459647294455008</v>
      </c>
      <c r="AM288" s="5">
        <v>9.90907137329749</v>
      </c>
      <c r="AN288" s="5">
        <v>-0.449718247791216</v>
      </c>
      <c r="AO288" s="5">
        <v>-1.58</v>
      </c>
      <c r="AP288" s="5">
        <v>39741.8973369129</v>
      </c>
      <c r="AQ288" s="5">
        <v>2.73920148528388</v>
      </c>
      <c r="AR288" s="5">
        <v>0</v>
      </c>
      <c r="AS288" s="5">
        <v>4.79453718407182</v>
      </c>
      <c r="AT288" s="5">
        <v>0</v>
      </c>
      <c r="AU288" s="5">
        <v>0</v>
      </c>
      <c r="AV288" s="5">
        <v>0</v>
      </c>
      <c r="AW288" s="5">
        <v>0</v>
      </c>
      <c r="AX288" s="5">
        <v>5.10652739484071</v>
      </c>
      <c r="AY288" s="5">
        <v>-7.69383775037793</v>
      </c>
      <c r="AZ288" s="5">
        <v>0.875</v>
      </c>
      <c r="BA288" s="5">
        <v>1</v>
      </c>
    </row>
    <row r="289" hidden="1" spans="1:53">
      <c r="A289" t="s">
        <v>53</v>
      </c>
      <c r="B289" t="s">
        <v>70</v>
      </c>
      <c r="C289" t="s">
        <v>55</v>
      </c>
      <c r="D289" s="4" t="s">
        <v>67</v>
      </c>
      <c r="E289">
        <v>0.0585999999999998</v>
      </c>
      <c r="F289">
        <v>6.7</v>
      </c>
      <c r="G289">
        <v>1</v>
      </c>
      <c r="H289">
        <v>17</v>
      </c>
      <c r="I289">
        <v>44</v>
      </c>
      <c r="J289">
        <v>36</v>
      </c>
      <c r="K289">
        <v>20</v>
      </c>
      <c r="L289" t="s">
        <v>57</v>
      </c>
      <c r="M289" t="s">
        <v>58</v>
      </c>
      <c r="N289" t="s">
        <v>87</v>
      </c>
      <c r="O289">
        <v>1.2621591406</v>
      </c>
      <c r="P289">
        <f t="shared" si="11"/>
        <v>21.5385518873721</v>
      </c>
      <c r="Q289">
        <f t="shared" si="10"/>
        <v>3.06984444046976</v>
      </c>
      <c r="R289">
        <v>150</v>
      </c>
      <c r="S289" t="s">
        <v>60</v>
      </c>
      <c r="T289" t="s">
        <v>61</v>
      </c>
      <c r="U289" t="s">
        <v>62</v>
      </c>
      <c r="V289">
        <v>1</v>
      </c>
      <c r="W289">
        <v>0</v>
      </c>
      <c r="X289">
        <v>1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1</v>
      </c>
      <c r="AE289" s="5">
        <v>13.0371419123205</v>
      </c>
      <c r="AF289" s="5">
        <v>7.66829457707096</v>
      </c>
      <c r="AG289" s="5">
        <v>0.402493807679921</v>
      </c>
      <c r="AH289" s="5">
        <v>16.8965517241379</v>
      </c>
      <c r="AI289" s="5">
        <v>0.459647294440031</v>
      </c>
      <c r="AJ289" s="5">
        <v>-0.280752999575314</v>
      </c>
      <c r="AK289" s="5">
        <v>0.459647294440031</v>
      </c>
      <c r="AL289" s="5">
        <v>0.280752999575314</v>
      </c>
      <c r="AM289" s="5">
        <v>9.90856544965598</v>
      </c>
      <c r="AN289" s="5">
        <v>-0.457885273814649</v>
      </c>
      <c r="AO289" s="5">
        <v>-1.28</v>
      </c>
      <c r="AP289" s="5">
        <v>176558.643253875</v>
      </c>
      <c r="AQ289" s="5">
        <v>3.26474212239717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4.55274987369036</v>
      </c>
      <c r="AY289" s="5">
        <v>-7.88274914441085</v>
      </c>
      <c r="AZ289" s="5">
        <v>1</v>
      </c>
      <c r="BA289" s="5">
        <v>1</v>
      </c>
    </row>
    <row r="290" hidden="1" spans="1:53">
      <c r="A290" t="s">
        <v>53</v>
      </c>
      <c r="B290" t="s">
        <v>70</v>
      </c>
      <c r="C290" t="s">
        <v>55</v>
      </c>
      <c r="D290" s="4" t="s">
        <v>68</v>
      </c>
      <c r="E290">
        <v>0.0234300000000003</v>
      </c>
      <c r="F290">
        <v>6.7</v>
      </c>
      <c r="G290">
        <v>1</v>
      </c>
      <c r="H290">
        <v>17</v>
      </c>
      <c r="I290">
        <v>44</v>
      </c>
      <c r="J290">
        <v>36</v>
      </c>
      <c r="K290">
        <v>20</v>
      </c>
      <c r="L290" t="s">
        <v>57</v>
      </c>
      <c r="M290" t="s">
        <v>58</v>
      </c>
      <c r="N290" t="s">
        <v>87</v>
      </c>
      <c r="O290">
        <v>0.8164973292</v>
      </c>
      <c r="P290">
        <f t="shared" si="11"/>
        <v>34.8483708578741</v>
      </c>
      <c r="Q290">
        <f t="shared" si="10"/>
        <v>3.55100638885055</v>
      </c>
      <c r="R290">
        <v>150</v>
      </c>
      <c r="S290" t="s">
        <v>60</v>
      </c>
      <c r="T290" t="s">
        <v>61</v>
      </c>
      <c r="U290" t="s">
        <v>62</v>
      </c>
      <c r="V290">
        <v>1</v>
      </c>
      <c r="W290">
        <v>0</v>
      </c>
      <c r="X290">
        <v>1</v>
      </c>
      <c r="Y290">
        <v>1</v>
      </c>
      <c r="Z290">
        <v>0</v>
      </c>
      <c r="AA290">
        <v>0</v>
      </c>
      <c r="AB290">
        <v>1</v>
      </c>
      <c r="AC290">
        <v>0</v>
      </c>
      <c r="AD290">
        <v>1</v>
      </c>
      <c r="AE290" s="5">
        <v>12.1252083333333</v>
      </c>
      <c r="AF290" s="5">
        <v>3.79034722222222</v>
      </c>
      <c r="AG290" s="5">
        <v>0.795108310685598</v>
      </c>
      <c r="AH290" s="5">
        <v>15.0625</v>
      </c>
      <c r="AI290" s="5">
        <v>0.459665733935349</v>
      </c>
      <c r="AJ290" s="5">
        <v>-0.476627440416371</v>
      </c>
      <c r="AK290" s="5">
        <v>0.476627440416371</v>
      </c>
      <c r="AL290" s="5">
        <v>0.459665733935349</v>
      </c>
      <c r="AM290" s="5">
        <v>10.044436145131</v>
      </c>
      <c r="AN290" s="5">
        <v>-0.389909625311938</v>
      </c>
      <c r="AO290" s="5">
        <v>-1.16</v>
      </c>
      <c r="AP290" s="5">
        <v>939.726830541714</v>
      </c>
      <c r="AQ290" s="5">
        <v>1.77550667912426</v>
      </c>
      <c r="AR290" s="5">
        <v>0</v>
      </c>
      <c r="AS290" s="5">
        <v>4.79453718407182</v>
      </c>
      <c r="AT290" s="5">
        <v>0</v>
      </c>
      <c r="AU290" s="5">
        <v>0</v>
      </c>
      <c r="AV290" s="5">
        <v>0</v>
      </c>
      <c r="AW290" s="5">
        <v>0</v>
      </c>
      <c r="AX290" s="5">
        <v>5.10652739484071</v>
      </c>
      <c r="AY290" s="5">
        <v>-7.00458333333333</v>
      </c>
      <c r="AZ290" s="5">
        <v>0.8</v>
      </c>
      <c r="BA290" s="5">
        <v>1</v>
      </c>
    </row>
    <row r="291" hidden="1" spans="1:53">
      <c r="A291" t="s">
        <v>53</v>
      </c>
      <c r="B291" t="s">
        <v>71</v>
      </c>
      <c r="C291" t="s">
        <v>55</v>
      </c>
      <c r="D291" s="4" t="s">
        <v>56</v>
      </c>
      <c r="E291">
        <v>2.05078</v>
      </c>
      <c r="F291">
        <v>6.7</v>
      </c>
      <c r="G291">
        <v>1</v>
      </c>
      <c r="H291">
        <v>17</v>
      </c>
      <c r="I291">
        <v>44</v>
      </c>
      <c r="J291">
        <v>36</v>
      </c>
      <c r="K291">
        <v>20</v>
      </c>
      <c r="L291" t="s">
        <v>57</v>
      </c>
      <c r="M291" t="s">
        <v>58</v>
      </c>
      <c r="N291" t="s">
        <v>87</v>
      </c>
      <c r="O291">
        <v>9.301822452</v>
      </c>
      <c r="P291">
        <f t="shared" si="11"/>
        <v>4.53574856981246</v>
      </c>
      <c r="Q291">
        <f t="shared" si="10"/>
        <v>1.51199013495363</v>
      </c>
      <c r="R291">
        <v>150</v>
      </c>
      <c r="S291" t="s">
        <v>60</v>
      </c>
      <c r="T291" t="s">
        <v>61</v>
      </c>
      <c r="U291" t="s">
        <v>62</v>
      </c>
      <c r="V291">
        <v>1</v>
      </c>
      <c r="W291">
        <v>0</v>
      </c>
      <c r="X291">
        <v>1</v>
      </c>
      <c r="Y291">
        <v>1</v>
      </c>
      <c r="Z291">
        <v>0</v>
      </c>
      <c r="AA291">
        <v>0</v>
      </c>
      <c r="AB291">
        <v>1</v>
      </c>
      <c r="AC291">
        <v>0</v>
      </c>
      <c r="AD291">
        <v>1</v>
      </c>
      <c r="AE291" s="5">
        <v>11.7505787037037</v>
      </c>
      <c r="AF291" s="5">
        <v>3.53256944444444</v>
      </c>
      <c r="AG291" s="5">
        <v>0.712441776552488</v>
      </c>
      <c r="AH291" s="5">
        <v>14.3846153846154</v>
      </c>
      <c r="AI291" s="5">
        <v>0.460094687009651</v>
      </c>
      <c r="AJ291" s="5">
        <v>-0.476625664235965</v>
      </c>
      <c r="AK291" s="5">
        <v>0.476625664235965</v>
      </c>
      <c r="AL291" s="5">
        <v>0.460094687009651</v>
      </c>
      <c r="AM291" s="5">
        <v>10.1473915373546</v>
      </c>
      <c r="AN291" s="5">
        <v>-0.347050241178715</v>
      </c>
      <c r="AO291" s="5">
        <v>-1.02</v>
      </c>
      <c r="AP291" s="5">
        <v>260.658615872357</v>
      </c>
      <c r="AQ291" s="5">
        <v>1.67669845728037</v>
      </c>
      <c r="AR291" s="5">
        <v>0</v>
      </c>
      <c r="AS291" s="5">
        <v>4.79453718407182</v>
      </c>
      <c r="AT291" s="5">
        <v>0</v>
      </c>
      <c r="AU291" s="5">
        <v>0</v>
      </c>
      <c r="AV291" s="5">
        <v>0</v>
      </c>
      <c r="AW291" s="5">
        <v>0</v>
      </c>
      <c r="AX291" s="5">
        <v>5.10652739484071</v>
      </c>
      <c r="AY291" s="5">
        <v>-6.60229166666667</v>
      </c>
      <c r="AZ291" s="5">
        <v>0.75</v>
      </c>
      <c r="BA291" s="5">
        <v>1</v>
      </c>
    </row>
    <row r="292" hidden="1" spans="1:53">
      <c r="A292" t="s">
        <v>53</v>
      </c>
      <c r="B292" t="s">
        <v>71</v>
      </c>
      <c r="C292" t="s">
        <v>55</v>
      </c>
      <c r="D292" s="4" t="s">
        <v>63</v>
      </c>
      <c r="E292">
        <v>0.44531</v>
      </c>
      <c r="F292">
        <v>6.7</v>
      </c>
      <c r="G292">
        <v>1</v>
      </c>
      <c r="H292">
        <v>17</v>
      </c>
      <c r="I292">
        <v>44</v>
      </c>
      <c r="J292">
        <v>36</v>
      </c>
      <c r="K292">
        <v>20</v>
      </c>
      <c r="L292" t="s">
        <v>57</v>
      </c>
      <c r="M292" t="s">
        <v>58</v>
      </c>
      <c r="N292" t="s">
        <v>87</v>
      </c>
      <c r="O292">
        <v>0.292545784800001</v>
      </c>
      <c r="P292">
        <f t="shared" si="11"/>
        <v>0.656948608385172</v>
      </c>
      <c r="Q292">
        <f t="shared" si="10"/>
        <v>-0.420149485192962</v>
      </c>
      <c r="R292">
        <v>150</v>
      </c>
      <c r="S292" t="s">
        <v>60</v>
      </c>
      <c r="T292" t="s">
        <v>61</v>
      </c>
      <c r="U292" t="s">
        <v>62</v>
      </c>
      <c r="V292">
        <v>1</v>
      </c>
      <c r="W292">
        <v>0</v>
      </c>
      <c r="X292">
        <v>1</v>
      </c>
      <c r="Y292">
        <v>1</v>
      </c>
      <c r="Z292">
        <v>0</v>
      </c>
      <c r="AA292">
        <v>0</v>
      </c>
      <c r="AB292">
        <v>1</v>
      </c>
      <c r="AC292">
        <v>0</v>
      </c>
      <c r="AD292">
        <v>1</v>
      </c>
      <c r="AE292" s="5">
        <v>12.2120833333333</v>
      </c>
      <c r="AF292" s="5">
        <v>7.00097222222222</v>
      </c>
      <c r="AG292" s="5">
        <v>0.642528075697275</v>
      </c>
      <c r="AH292" s="5">
        <v>16.1176470588235</v>
      </c>
      <c r="AI292" s="5">
        <v>0.459694901747447</v>
      </c>
      <c r="AJ292" s="5">
        <v>-0.280752981483328</v>
      </c>
      <c r="AK292" s="5">
        <v>0.459694901747447</v>
      </c>
      <c r="AL292" s="5">
        <v>0.280752981483328</v>
      </c>
      <c r="AM292" s="5">
        <v>10.1452721658031</v>
      </c>
      <c r="AN292" s="5">
        <v>-0.382289160206052</v>
      </c>
      <c r="AO292" s="5">
        <v>-0.72</v>
      </c>
      <c r="AP292" s="5">
        <v>1212.20967645111</v>
      </c>
      <c r="AQ292" s="5">
        <v>2.16502218725737</v>
      </c>
      <c r="AR292" s="5">
        <v>0</v>
      </c>
      <c r="AS292" s="5">
        <v>0</v>
      </c>
      <c r="AT292" s="5">
        <v>0</v>
      </c>
      <c r="AU292" s="5">
        <v>0</v>
      </c>
      <c r="AV292" s="5">
        <v>0</v>
      </c>
      <c r="AW292" s="5">
        <v>0</v>
      </c>
      <c r="AX292" s="5">
        <v>4.55274987369036</v>
      </c>
      <c r="AY292" s="5">
        <v>-7.13430555555556</v>
      </c>
      <c r="AZ292" s="5">
        <v>1</v>
      </c>
      <c r="BA292" s="5">
        <v>1</v>
      </c>
    </row>
    <row r="293" hidden="1" spans="1:53">
      <c r="A293" t="s">
        <v>53</v>
      </c>
      <c r="B293" t="s">
        <v>71</v>
      </c>
      <c r="C293" t="s">
        <v>55</v>
      </c>
      <c r="D293" s="4" t="s">
        <v>64</v>
      </c>
      <c r="E293">
        <v>0.0585999999999998</v>
      </c>
      <c r="F293">
        <v>6.7</v>
      </c>
      <c r="G293">
        <v>1</v>
      </c>
      <c r="H293">
        <v>17</v>
      </c>
      <c r="I293">
        <v>44</v>
      </c>
      <c r="J293">
        <v>36</v>
      </c>
      <c r="K293">
        <v>20</v>
      </c>
      <c r="L293" t="s">
        <v>57</v>
      </c>
      <c r="M293" t="s">
        <v>58</v>
      </c>
      <c r="N293" t="s">
        <v>87</v>
      </c>
      <c r="O293">
        <v>0.2765991924</v>
      </c>
      <c r="P293">
        <f t="shared" si="11"/>
        <v>4.72012273720138</v>
      </c>
      <c r="Q293">
        <f t="shared" si="10"/>
        <v>1.55183480290374</v>
      </c>
      <c r="R293">
        <v>150</v>
      </c>
      <c r="S293" t="s">
        <v>60</v>
      </c>
      <c r="T293" t="s">
        <v>61</v>
      </c>
      <c r="U293" t="s">
        <v>62</v>
      </c>
      <c r="V293">
        <v>1</v>
      </c>
      <c r="W293">
        <v>0</v>
      </c>
      <c r="X293">
        <v>1</v>
      </c>
      <c r="Y293">
        <v>1</v>
      </c>
      <c r="Z293">
        <v>0</v>
      </c>
      <c r="AA293">
        <v>0</v>
      </c>
      <c r="AB293">
        <v>1</v>
      </c>
      <c r="AC293">
        <v>0</v>
      </c>
      <c r="AD293">
        <v>1</v>
      </c>
      <c r="AE293" s="5">
        <v>12.3952083333333</v>
      </c>
      <c r="AF293" s="5">
        <v>3.99060232426304</v>
      </c>
      <c r="AG293" s="5">
        <v>0.809418673219238</v>
      </c>
      <c r="AH293" s="5">
        <v>15.5263157894737</v>
      </c>
      <c r="AI293" s="5">
        <v>0.459647654411774</v>
      </c>
      <c r="AJ293" s="5">
        <v>-0.476627457257861</v>
      </c>
      <c r="AK293" s="5">
        <v>0.476627457257861</v>
      </c>
      <c r="AL293" s="5">
        <v>0.459647654411774</v>
      </c>
      <c r="AM293" s="5">
        <v>9.98060231888395</v>
      </c>
      <c r="AN293" s="5">
        <v>-0.417658943556199</v>
      </c>
      <c r="AO293" s="5">
        <v>-1.3</v>
      </c>
      <c r="AP293" s="5">
        <v>3314.44680161703</v>
      </c>
      <c r="AQ293" s="5">
        <v>2.17852386673025</v>
      </c>
      <c r="AR293" s="5">
        <v>0</v>
      </c>
      <c r="AS293" s="5">
        <v>4.79453718407182</v>
      </c>
      <c r="AT293" s="5">
        <v>0</v>
      </c>
      <c r="AU293" s="5">
        <v>0</v>
      </c>
      <c r="AV293" s="5">
        <v>0</v>
      </c>
      <c r="AW293" s="5">
        <v>0</v>
      </c>
      <c r="AX293" s="5">
        <v>5.10652739484071</v>
      </c>
      <c r="AY293" s="5">
        <v>-7.29710978835979</v>
      </c>
      <c r="AZ293" s="5">
        <v>0.833333333333333</v>
      </c>
      <c r="BA293" s="5">
        <v>1</v>
      </c>
    </row>
    <row r="294" hidden="1" spans="1:53">
      <c r="A294" t="s">
        <v>53</v>
      </c>
      <c r="B294" t="s">
        <v>71</v>
      </c>
      <c r="C294" t="s">
        <v>55</v>
      </c>
      <c r="D294" s="4" t="s">
        <v>65</v>
      </c>
      <c r="E294">
        <v>0.0351500000000002</v>
      </c>
      <c r="F294">
        <v>6.7</v>
      </c>
      <c r="G294">
        <v>1</v>
      </c>
      <c r="H294">
        <v>17</v>
      </c>
      <c r="I294">
        <v>44</v>
      </c>
      <c r="J294">
        <v>36</v>
      </c>
      <c r="K294">
        <v>20</v>
      </c>
      <c r="L294" t="s">
        <v>57</v>
      </c>
      <c r="M294" t="s">
        <v>58</v>
      </c>
      <c r="N294" t="s">
        <v>87</v>
      </c>
      <c r="O294">
        <v>0.2437569648</v>
      </c>
      <c r="P294">
        <f t="shared" si="11"/>
        <v>6.93476429018488</v>
      </c>
      <c r="Q294">
        <f t="shared" si="10"/>
        <v>1.93654706475152</v>
      </c>
      <c r="R294">
        <v>150</v>
      </c>
      <c r="S294" t="s">
        <v>60</v>
      </c>
      <c r="T294" t="s">
        <v>61</v>
      </c>
      <c r="U294" t="s">
        <v>62</v>
      </c>
      <c r="V294">
        <v>1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1</v>
      </c>
      <c r="AC294">
        <v>0</v>
      </c>
      <c r="AD294">
        <v>1</v>
      </c>
      <c r="AE294" s="5">
        <v>12.6956944444444</v>
      </c>
      <c r="AF294" s="5">
        <v>7.51923752834467</v>
      </c>
      <c r="AG294" s="5">
        <v>0.567423483996869</v>
      </c>
      <c r="AH294" s="5">
        <v>16.6086956521739</v>
      </c>
      <c r="AI294" s="5">
        <v>0.459647303367286</v>
      </c>
      <c r="AJ294" s="5">
        <v>-0.280752999575136</v>
      </c>
      <c r="AK294" s="5">
        <v>0.459647303367286</v>
      </c>
      <c r="AL294" s="5">
        <v>0.280752999575136</v>
      </c>
      <c r="AM294" s="5">
        <v>9.97962409166519</v>
      </c>
      <c r="AN294" s="5">
        <v>-0.433260944725331</v>
      </c>
      <c r="AO294" s="5">
        <v>-1</v>
      </c>
      <c r="AP294" s="5">
        <v>14934.5346948423</v>
      </c>
      <c r="AQ294" s="5">
        <v>2.69882520469918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4.55274987369036</v>
      </c>
      <c r="AY294" s="5">
        <v>-7.5938637329932</v>
      </c>
      <c r="AZ294" s="5">
        <v>1</v>
      </c>
      <c r="BA294" s="5">
        <v>1</v>
      </c>
    </row>
    <row r="295" hidden="1" spans="1:53">
      <c r="A295" t="s">
        <v>53</v>
      </c>
      <c r="B295" t="s">
        <v>71</v>
      </c>
      <c r="C295" t="s">
        <v>55</v>
      </c>
      <c r="D295" s="4" t="s">
        <v>66</v>
      </c>
      <c r="E295">
        <v>0.375</v>
      </c>
      <c r="F295">
        <v>6.7</v>
      </c>
      <c r="G295">
        <v>1</v>
      </c>
      <c r="H295">
        <v>17</v>
      </c>
      <c r="I295">
        <v>44</v>
      </c>
      <c r="J295">
        <v>36</v>
      </c>
      <c r="K295">
        <v>20</v>
      </c>
      <c r="L295" t="s">
        <v>57</v>
      </c>
      <c r="M295" t="s">
        <v>58</v>
      </c>
      <c r="N295" t="s">
        <v>87</v>
      </c>
      <c r="O295">
        <v>0.8132227452</v>
      </c>
      <c r="P295">
        <f t="shared" si="11"/>
        <v>2.1685939872</v>
      </c>
      <c r="Q295">
        <f t="shared" si="10"/>
        <v>0.774079025387709</v>
      </c>
      <c r="R295">
        <v>150</v>
      </c>
      <c r="S295" t="s">
        <v>60</v>
      </c>
      <c r="T295" t="s">
        <v>61</v>
      </c>
      <c r="U295" t="s">
        <v>62</v>
      </c>
      <c r="V295">
        <v>1</v>
      </c>
      <c r="W295">
        <v>0</v>
      </c>
      <c r="X295">
        <v>1</v>
      </c>
      <c r="Y295">
        <v>1</v>
      </c>
      <c r="Z295">
        <v>0</v>
      </c>
      <c r="AA295">
        <v>0</v>
      </c>
      <c r="AB295">
        <v>1</v>
      </c>
      <c r="AC295">
        <v>0</v>
      </c>
      <c r="AD295">
        <v>1</v>
      </c>
      <c r="AE295" s="5">
        <v>12.8254166666667</v>
      </c>
      <c r="AF295" s="5">
        <v>4.27882137345679</v>
      </c>
      <c r="AG295" s="5">
        <v>0.653062667189842</v>
      </c>
      <c r="AH295" s="5">
        <v>16.12</v>
      </c>
      <c r="AI295" s="5">
        <v>0.459647294455008</v>
      </c>
      <c r="AJ295" s="5">
        <v>-0.47662745733429</v>
      </c>
      <c r="AK295" s="5">
        <v>0.47662745733429</v>
      </c>
      <c r="AL295" s="5">
        <v>0.459647294455008</v>
      </c>
      <c r="AM295" s="5">
        <v>9.90907137329749</v>
      </c>
      <c r="AN295" s="5">
        <v>-0.449718247791216</v>
      </c>
      <c r="AO295" s="5">
        <v>-1.58</v>
      </c>
      <c r="AP295" s="5">
        <v>39741.8973369129</v>
      </c>
      <c r="AQ295" s="5">
        <v>2.73920148528388</v>
      </c>
      <c r="AR295" s="5">
        <v>0</v>
      </c>
      <c r="AS295" s="5">
        <v>4.79453718407182</v>
      </c>
      <c r="AT295" s="5">
        <v>0</v>
      </c>
      <c r="AU295" s="5">
        <v>0</v>
      </c>
      <c r="AV295" s="5">
        <v>0</v>
      </c>
      <c r="AW295" s="5">
        <v>0</v>
      </c>
      <c r="AX295" s="5">
        <v>5.10652739484071</v>
      </c>
      <c r="AY295" s="5">
        <v>-7.69383775037793</v>
      </c>
      <c r="AZ295" s="5">
        <v>0.875</v>
      </c>
      <c r="BA295" s="5">
        <v>1</v>
      </c>
    </row>
    <row r="296" hidden="1" spans="1:53">
      <c r="A296" t="s">
        <v>53</v>
      </c>
      <c r="B296" t="s">
        <v>71</v>
      </c>
      <c r="C296" t="s">
        <v>55</v>
      </c>
      <c r="D296" s="4" t="s">
        <v>67</v>
      </c>
      <c r="E296">
        <v>0.10547</v>
      </c>
      <c r="F296">
        <v>6.7</v>
      </c>
      <c r="G296">
        <v>1</v>
      </c>
      <c r="H296">
        <v>17</v>
      </c>
      <c r="I296">
        <v>44</v>
      </c>
      <c r="J296">
        <v>36</v>
      </c>
      <c r="K296">
        <v>20</v>
      </c>
      <c r="L296" t="s">
        <v>57</v>
      </c>
      <c r="M296" t="s">
        <v>58</v>
      </c>
      <c r="N296" t="s">
        <v>87</v>
      </c>
      <c r="O296">
        <v>1.512052416</v>
      </c>
      <c r="P296">
        <f t="shared" si="11"/>
        <v>14.3363270693088</v>
      </c>
      <c r="Q296">
        <f t="shared" si="10"/>
        <v>2.66279667051675</v>
      </c>
      <c r="R296">
        <v>150</v>
      </c>
      <c r="S296" t="s">
        <v>60</v>
      </c>
      <c r="T296" t="s">
        <v>61</v>
      </c>
      <c r="U296" t="s">
        <v>62</v>
      </c>
      <c r="V296">
        <v>1</v>
      </c>
      <c r="W296">
        <v>0</v>
      </c>
      <c r="X296">
        <v>1</v>
      </c>
      <c r="Y296">
        <v>1</v>
      </c>
      <c r="Z296">
        <v>0</v>
      </c>
      <c r="AA296">
        <v>0</v>
      </c>
      <c r="AB296">
        <v>1</v>
      </c>
      <c r="AC296">
        <v>0</v>
      </c>
      <c r="AD296">
        <v>1</v>
      </c>
      <c r="AE296" s="5">
        <v>13.0371419123205</v>
      </c>
      <c r="AF296" s="5">
        <v>7.66829457707096</v>
      </c>
      <c r="AG296" s="5">
        <v>0.402493807679921</v>
      </c>
      <c r="AH296" s="5">
        <v>16.8965517241379</v>
      </c>
      <c r="AI296" s="5">
        <v>0.459647294440031</v>
      </c>
      <c r="AJ296" s="5">
        <v>-0.280752999575314</v>
      </c>
      <c r="AK296" s="5">
        <v>0.459647294440031</v>
      </c>
      <c r="AL296" s="5">
        <v>0.280752999575314</v>
      </c>
      <c r="AM296" s="5">
        <v>9.90856544965598</v>
      </c>
      <c r="AN296" s="5">
        <v>-0.457885273814649</v>
      </c>
      <c r="AO296" s="5">
        <v>-1.28</v>
      </c>
      <c r="AP296" s="5">
        <v>176558.643253875</v>
      </c>
      <c r="AQ296" s="5">
        <v>3.26474212239717</v>
      </c>
      <c r="AR296" s="5">
        <v>0</v>
      </c>
      <c r="AS296" s="5">
        <v>0</v>
      </c>
      <c r="AT296" s="5">
        <v>0</v>
      </c>
      <c r="AU296" s="5">
        <v>0</v>
      </c>
      <c r="AV296" s="5">
        <v>0</v>
      </c>
      <c r="AW296" s="5">
        <v>0</v>
      </c>
      <c r="AX296" s="5">
        <v>4.55274987369036</v>
      </c>
      <c r="AY296" s="5">
        <v>-7.88274914441085</v>
      </c>
      <c r="AZ296" s="5">
        <v>1</v>
      </c>
      <c r="BA296" s="5">
        <v>1</v>
      </c>
    </row>
    <row r="297" hidden="1" spans="1:53">
      <c r="A297" t="s">
        <v>53</v>
      </c>
      <c r="B297" t="s">
        <v>71</v>
      </c>
      <c r="C297" t="s">
        <v>55</v>
      </c>
      <c r="D297" s="4" t="s">
        <v>68</v>
      </c>
      <c r="E297">
        <v>0.0351599999999999</v>
      </c>
      <c r="F297">
        <v>6.7</v>
      </c>
      <c r="G297">
        <v>1</v>
      </c>
      <c r="H297">
        <v>17</v>
      </c>
      <c r="I297">
        <v>44</v>
      </c>
      <c r="J297">
        <v>36</v>
      </c>
      <c r="K297">
        <v>20</v>
      </c>
      <c r="L297" t="s">
        <v>57</v>
      </c>
      <c r="M297" t="s">
        <v>58</v>
      </c>
      <c r="N297" t="s">
        <v>87</v>
      </c>
      <c r="O297">
        <v>0.9268004448</v>
      </c>
      <c r="P297">
        <f t="shared" si="11"/>
        <v>26.3595120819113</v>
      </c>
      <c r="Q297">
        <f t="shared" si="10"/>
        <v>3.27182919967208</v>
      </c>
      <c r="R297">
        <v>150</v>
      </c>
      <c r="S297" t="s">
        <v>60</v>
      </c>
      <c r="T297" t="s">
        <v>61</v>
      </c>
      <c r="U297" t="s">
        <v>62</v>
      </c>
      <c r="V297">
        <v>1</v>
      </c>
      <c r="W297">
        <v>0</v>
      </c>
      <c r="X297">
        <v>1</v>
      </c>
      <c r="Y297">
        <v>1</v>
      </c>
      <c r="Z297">
        <v>0</v>
      </c>
      <c r="AA297">
        <v>0</v>
      </c>
      <c r="AB297">
        <v>1</v>
      </c>
      <c r="AC297">
        <v>0</v>
      </c>
      <c r="AD297">
        <v>1</v>
      </c>
      <c r="AE297" s="5">
        <v>12.1252083333333</v>
      </c>
      <c r="AF297" s="5">
        <v>3.79034722222222</v>
      </c>
      <c r="AG297" s="5">
        <v>0.795108310685598</v>
      </c>
      <c r="AH297" s="5">
        <v>15.0625</v>
      </c>
      <c r="AI297" s="5">
        <v>0.459665733935349</v>
      </c>
      <c r="AJ297" s="5">
        <v>-0.476627440416371</v>
      </c>
      <c r="AK297" s="5">
        <v>0.476627440416371</v>
      </c>
      <c r="AL297" s="5">
        <v>0.459665733935349</v>
      </c>
      <c r="AM297" s="5">
        <v>10.044436145131</v>
      </c>
      <c r="AN297" s="5">
        <v>-0.389909625311938</v>
      </c>
      <c r="AO297" s="5">
        <v>-1.16</v>
      </c>
      <c r="AP297" s="5">
        <v>939.726830541714</v>
      </c>
      <c r="AQ297" s="5">
        <v>1.77550667912426</v>
      </c>
      <c r="AR297" s="5">
        <v>0</v>
      </c>
      <c r="AS297" s="5">
        <v>4.79453718407182</v>
      </c>
      <c r="AT297" s="5">
        <v>0</v>
      </c>
      <c r="AU297" s="5">
        <v>0</v>
      </c>
      <c r="AV297" s="5">
        <v>0</v>
      </c>
      <c r="AW297" s="5">
        <v>0</v>
      </c>
      <c r="AX297" s="5">
        <v>5.10652739484071</v>
      </c>
      <c r="AY297" s="5">
        <v>-7.00458333333333</v>
      </c>
      <c r="AZ297" s="5">
        <v>0.8</v>
      </c>
      <c r="BA297" s="5">
        <v>1</v>
      </c>
    </row>
    <row r="298" hidden="1" spans="1:53">
      <c r="A298" t="s">
        <v>53</v>
      </c>
      <c r="B298" t="s">
        <v>72</v>
      </c>
      <c r="C298" t="s">
        <v>55</v>
      </c>
      <c r="D298" s="4" t="s">
        <v>63</v>
      </c>
      <c r="E298">
        <v>0.292971</v>
      </c>
      <c r="F298">
        <v>6.7</v>
      </c>
      <c r="G298">
        <v>1</v>
      </c>
      <c r="H298">
        <v>17</v>
      </c>
      <c r="I298">
        <v>44</v>
      </c>
      <c r="J298">
        <v>36</v>
      </c>
      <c r="K298">
        <v>20</v>
      </c>
      <c r="L298" t="s">
        <v>57</v>
      </c>
      <c r="M298" t="s">
        <v>58</v>
      </c>
      <c r="N298" t="s">
        <v>87</v>
      </c>
      <c r="O298">
        <v>0.20123780004</v>
      </c>
      <c r="P298">
        <f t="shared" si="11"/>
        <v>0.686886415515529</v>
      </c>
      <c r="Q298">
        <f t="shared" si="10"/>
        <v>-0.375586334467498</v>
      </c>
      <c r="R298">
        <v>150</v>
      </c>
      <c r="S298" t="s">
        <v>60</v>
      </c>
      <c r="T298" t="s">
        <v>61</v>
      </c>
      <c r="U298" t="s">
        <v>62</v>
      </c>
      <c r="V298">
        <v>1</v>
      </c>
      <c r="W298">
        <v>0</v>
      </c>
      <c r="X298">
        <v>1</v>
      </c>
      <c r="Y298">
        <v>1</v>
      </c>
      <c r="Z298">
        <v>0</v>
      </c>
      <c r="AA298">
        <v>0</v>
      </c>
      <c r="AB298">
        <v>1</v>
      </c>
      <c r="AC298">
        <v>0</v>
      </c>
      <c r="AD298">
        <v>1</v>
      </c>
      <c r="AE298" s="5">
        <v>12.2120833333333</v>
      </c>
      <c r="AF298" s="5">
        <v>7.00097222222222</v>
      </c>
      <c r="AG298" s="5">
        <v>0.642528075697275</v>
      </c>
      <c r="AH298" s="5">
        <v>16.1176470588235</v>
      </c>
      <c r="AI298" s="5">
        <v>0.459694901747447</v>
      </c>
      <c r="AJ298" s="5">
        <v>-0.280752981483328</v>
      </c>
      <c r="AK298" s="5">
        <v>0.459694901747447</v>
      </c>
      <c r="AL298" s="5">
        <v>0.280752981483328</v>
      </c>
      <c r="AM298" s="5">
        <v>10.1452721658031</v>
      </c>
      <c r="AN298" s="5">
        <v>-0.382289160206052</v>
      </c>
      <c r="AO298" s="5">
        <v>-0.72</v>
      </c>
      <c r="AP298" s="5">
        <v>1212.20967645111</v>
      </c>
      <c r="AQ298" s="5">
        <v>2.16502218725737</v>
      </c>
      <c r="AR298" s="5">
        <v>0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4.55274987369036</v>
      </c>
      <c r="AY298" s="5">
        <v>-7.13430555555556</v>
      </c>
      <c r="AZ298" s="5">
        <v>1</v>
      </c>
      <c r="BA298" s="5">
        <v>1</v>
      </c>
    </row>
    <row r="299" hidden="1" spans="1:53">
      <c r="A299" t="s">
        <v>53</v>
      </c>
      <c r="B299" t="s">
        <v>72</v>
      </c>
      <c r="C299" t="s">
        <v>55</v>
      </c>
      <c r="D299" s="4" t="s">
        <v>65</v>
      </c>
      <c r="E299">
        <v>0.0585899999999999</v>
      </c>
      <c r="F299">
        <v>6.7</v>
      </c>
      <c r="G299">
        <v>1</v>
      </c>
      <c r="H299">
        <v>17</v>
      </c>
      <c r="I299">
        <v>44</v>
      </c>
      <c r="J299">
        <v>36</v>
      </c>
      <c r="K299">
        <v>20</v>
      </c>
      <c r="L299" t="s">
        <v>57</v>
      </c>
      <c r="M299" t="s">
        <v>58</v>
      </c>
      <c r="N299" t="s">
        <v>87</v>
      </c>
      <c r="O299">
        <v>0.1915300548</v>
      </c>
      <c r="P299">
        <f t="shared" si="11"/>
        <v>3.26898881720431</v>
      </c>
      <c r="Q299">
        <f t="shared" si="10"/>
        <v>1.18448070687489</v>
      </c>
      <c r="R299">
        <v>150</v>
      </c>
      <c r="S299" t="s">
        <v>60</v>
      </c>
      <c r="T299" t="s">
        <v>61</v>
      </c>
      <c r="U299" t="s">
        <v>62</v>
      </c>
      <c r="V299">
        <v>1</v>
      </c>
      <c r="W299">
        <v>0</v>
      </c>
      <c r="X299">
        <v>1</v>
      </c>
      <c r="Y299">
        <v>1</v>
      </c>
      <c r="Z299">
        <v>0</v>
      </c>
      <c r="AA299">
        <v>0</v>
      </c>
      <c r="AB299">
        <v>1</v>
      </c>
      <c r="AC299">
        <v>0</v>
      </c>
      <c r="AD299">
        <v>1</v>
      </c>
      <c r="AE299" s="5">
        <v>12.6956944444444</v>
      </c>
      <c r="AF299" s="5">
        <v>7.51923752834467</v>
      </c>
      <c r="AG299" s="5">
        <v>0.567423483996869</v>
      </c>
      <c r="AH299" s="5">
        <v>16.6086956521739</v>
      </c>
      <c r="AI299" s="5">
        <v>0.459647303367286</v>
      </c>
      <c r="AJ299" s="5">
        <v>-0.280752999575136</v>
      </c>
      <c r="AK299" s="5">
        <v>0.459647303367286</v>
      </c>
      <c r="AL299" s="5">
        <v>0.280752999575136</v>
      </c>
      <c r="AM299" s="5">
        <v>9.97962409166519</v>
      </c>
      <c r="AN299" s="5">
        <v>-0.433260944725331</v>
      </c>
      <c r="AO299" s="5">
        <v>-1</v>
      </c>
      <c r="AP299" s="5">
        <v>14934.5346948423</v>
      </c>
      <c r="AQ299" s="5">
        <v>2.69882520469918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4.55274987369036</v>
      </c>
      <c r="AY299" s="5">
        <v>-7.5938637329932</v>
      </c>
      <c r="AZ299" s="5">
        <v>1</v>
      </c>
      <c r="BA299" s="5">
        <v>1</v>
      </c>
    </row>
    <row r="300" hidden="1" spans="1:53">
      <c r="A300" t="s">
        <v>53</v>
      </c>
      <c r="B300" t="s">
        <v>72</v>
      </c>
      <c r="C300" t="s">
        <v>55</v>
      </c>
      <c r="D300" s="4" t="s">
        <v>66</v>
      </c>
      <c r="E300">
        <v>0.31641</v>
      </c>
      <c r="F300">
        <v>6.7</v>
      </c>
      <c r="G300">
        <v>1</v>
      </c>
      <c r="H300">
        <v>17</v>
      </c>
      <c r="I300">
        <v>44</v>
      </c>
      <c r="J300">
        <v>36</v>
      </c>
      <c r="K300">
        <v>20</v>
      </c>
      <c r="L300" t="s">
        <v>57</v>
      </c>
      <c r="M300" t="s">
        <v>58</v>
      </c>
      <c r="N300" t="s">
        <v>87</v>
      </c>
      <c r="O300">
        <v>0.7324241448</v>
      </c>
      <c r="P300">
        <f t="shared" si="11"/>
        <v>2.31479455390158</v>
      </c>
      <c r="Q300">
        <f t="shared" si="10"/>
        <v>0.839320937985205</v>
      </c>
      <c r="R300">
        <v>150</v>
      </c>
      <c r="S300" t="s">
        <v>60</v>
      </c>
      <c r="T300" t="s">
        <v>61</v>
      </c>
      <c r="U300" t="s">
        <v>62</v>
      </c>
      <c r="V300">
        <v>1</v>
      </c>
      <c r="W300">
        <v>0</v>
      </c>
      <c r="X300">
        <v>1</v>
      </c>
      <c r="Y300">
        <v>1</v>
      </c>
      <c r="Z300">
        <v>0</v>
      </c>
      <c r="AA300">
        <v>0</v>
      </c>
      <c r="AB300">
        <v>1</v>
      </c>
      <c r="AC300">
        <v>0</v>
      </c>
      <c r="AD300">
        <v>1</v>
      </c>
      <c r="AE300" s="5">
        <v>12.8254166666667</v>
      </c>
      <c r="AF300" s="5">
        <v>4.27882137345679</v>
      </c>
      <c r="AG300" s="5">
        <v>0.653062667189842</v>
      </c>
      <c r="AH300" s="5">
        <v>16.12</v>
      </c>
      <c r="AI300" s="5">
        <v>0.459647294455008</v>
      </c>
      <c r="AJ300" s="5">
        <v>-0.47662745733429</v>
      </c>
      <c r="AK300" s="5">
        <v>0.47662745733429</v>
      </c>
      <c r="AL300" s="5">
        <v>0.459647294455008</v>
      </c>
      <c r="AM300" s="5">
        <v>9.90907137329749</v>
      </c>
      <c r="AN300" s="5">
        <v>-0.449718247791216</v>
      </c>
      <c r="AO300" s="5">
        <v>-1.58</v>
      </c>
      <c r="AP300" s="5">
        <v>39741.8973369129</v>
      </c>
      <c r="AQ300" s="5">
        <v>2.73920148528388</v>
      </c>
      <c r="AR300" s="5">
        <v>0</v>
      </c>
      <c r="AS300" s="5">
        <v>4.79453718407182</v>
      </c>
      <c r="AT300" s="5">
        <v>0</v>
      </c>
      <c r="AU300" s="5">
        <v>0</v>
      </c>
      <c r="AV300" s="5">
        <v>0</v>
      </c>
      <c r="AW300" s="5">
        <v>0</v>
      </c>
      <c r="AX300" s="5">
        <v>5.10652739484071</v>
      </c>
      <c r="AY300" s="5">
        <v>-7.69383775037793</v>
      </c>
      <c r="AZ300" s="5">
        <v>0.875</v>
      </c>
      <c r="BA300" s="5">
        <v>1</v>
      </c>
    </row>
    <row r="301" hidden="1" spans="1:53">
      <c r="A301" t="s">
        <v>53</v>
      </c>
      <c r="B301" t="s">
        <v>72</v>
      </c>
      <c r="C301" t="s">
        <v>55</v>
      </c>
      <c r="D301" s="4" t="s">
        <v>67</v>
      </c>
      <c r="E301">
        <v>0.11718</v>
      </c>
      <c r="F301">
        <v>6.7</v>
      </c>
      <c r="G301">
        <v>1</v>
      </c>
      <c r="H301">
        <v>17</v>
      </c>
      <c r="I301">
        <v>44</v>
      </c>
      <c r="J301">
        <v>36</v>
      </c>
      <c r="K301">
        <v>20</v>
      </c>
      <c r="L301" t="s">
        <v>57</v>
      </c>
      <c r="M301" t="s">
        <v>58</v>
      </c>
      <c r="N301" t="s">
        <v>87</v>
      </c>
      <c r="O301">
        <v>1.2474967104</v>
      </c>
      <c r="P301">
        <f t="shared" si="11"/>
        <v>10.6459866052227</v>
      </c>
      <c r="Q301">
        <f t="shared" si="10"/>
        <v>2.36518297655165</v>
      </c>
      <c r="R301">
        <v>150</v>
      </c>
      <c r="S301" t="s">
        <v>60</v>
      </c>
      <c r="T301" t="s">
        <v>61</v>
      </c>
      <c r="U301" t="s">
        <v>62</v>
      </c>
      <c r="V301">
        <v>1</v>
      </c>
      <c r="W301">
        <v>0</v>
      </c>
      <c r="X301">
        <v>1</v>
      </c>
      <c r="Y301">
        <v>1</v>
      </c>
      <c r="Z301">
        <v>0</v>
      </c>
      <c r="AA301">
        <v>0</v>
      </c>
      <c r="AB301">
        <v>1</v>
      </c>
      <c r="AC301">
        <v>0</v>
      </c>
      <c r="AD301">
        <v>1</v>
      </c>
      <c r="AE301" s="5">
        <v>13.0371419123205</v>
      </c>
      <c r="AF301" s="5">
        <v>7.66829457707096</v>
      </c>
      <c r="AG301" s="5">
        <v>0.402493807679921</v>
      </c>
      <c r="AH301" s="5">
        <v>16.8965517241379</v>
      </c>
      <c r="AI301" s="5">
        <v>0.459647294440031</v>
      </c>
      <c r="AJ301" s="5">
        <v>-0.280752999575314</v>
      </c>
      <c r="AK301" s="5">
        <v>0.459647294440031</v>
      </c>
      <c r="AL301" s="5">
        <v>0.280752999575314</v>
      </c>
      <c r="AM301" s="5">
        <v>9.90856544965598</v>
      </c>
      <c r="AN301" s="5">
        <v>-0.457885273814649</v>
      </c>
      <c r="AO301" s="5">
        <v>-1.28</v>
      </c>
      <c r="AP301" s="5">
        <v>176558.643253875</v>
      </c>
      <c r="AQ301" s="5">
        <v>3.26474212239717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4.55274987369036</v>
      </c>
      <c r="AY301" s="5">
        <v>-7.88274914441085</v>
      </c>
      <c r="AZ301" s="5">
        <v>1</v>
      </c>
      <c r="BA301" s="5">
        <v>1</v>
      </c>
    </row>
    <row r="302" hidden="1" spans="1:53">
      <c r="A302" t="s">
        <v>53</v>
      </c>
      <c r="B302" t="s">
        <v>72</v>
      </c>
      <c r="C302" t="s">
        <v>55</v>
      </c>
      <c r="D302" s="4" t="s">
        <v>68</v>
      </c>
      <c r="E302">
        <v>0.0351599999999999</v>
      </c>
      <c r="F302">
        <v>6.7</v>
      </c>
      <c r="G302">
        <v>1</v>
      </c>
      <c r="H302">
        <v>17</v>
      </c>
      <c r="I302">
        <v>44</v>
      </c>
      <c r="J302">
        <v>36</v>
      </c>
      <c r="K302">
        <v>20</v>
      </c>
      <c r="L302" t="s">
        <v>57</v>
      </c>
      <c r="M302" t="s">
        <v>58</v>
      </c>
      <c r="N302" t="s">
        <v>87</v>
      </c>
      <c r="O302">
        <v>0.8163703476</v>
      </c>
      <c r="P302">
        <f t="shared" si="11"/>
        <v>23.2187243344711</v>
      </c>
      <c r="Q302">
        <f t="shared" si="10"/>
        <v>3.14495903653798</v>
      </c>
      <c r="R302">
        <v>150</v>
      </c>
      <c r="S302" t="s">
        <v>60</v>
      </c>
      <c r="T302" t="s">
        <v>61</v>
      </c>
      <c r="U302" t="s">
        <v>62</v>
      </c>
      <c r="V302">
        <v>1</v>
      </c>
      <c r="W302">
        <v>0</v>
      </c>
      <c r="X302">
        <v>1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1</v>
      </c>
      <c r="AE302" s="5">
        <v>12.1252083333333</v>
      </c>
      <c r="AF302" s="5">
        <v>3.79034722222222</v>
      </c>
      <c r="AG302" s="5">
        <v>0.795108310685598</v>
      </c>
      <c r="AH302" s="5">
        <v>15.0625</v>
      </c>
      <c r="AI302" s="5">
        <v>0.459665733935349</v>
      </c>
      <c r="AJ302" s="5">
        <v>-0.476627440416371</v>
      </c>
      <c r="AK302" s="5">
        <v>0.476627440416371</v>
      </c>
      <c r="AL302" s="5">
        <v>0.459665733935349</v>
      </c>
      <c r="AM302" s="5">
        <v>10.044436145131</v>
      </c>
      <c r="AN302" s="5">
        <v>-0.389909625311938</v>
      </c>
      <c r="AO302" s="5">
        <v>-1.16</v>
      </c>
      <c r="AP302" s="5">
        <v>939.726830541714</v>
      </c>
      <c r="AQ302" s="5">
        <v>1.77550667912426</v>
      </c>
      <c r="AR302" s="5">
        <v>0</v>
      </c>
      <c r="AS302" s="5">
        <v>4.79453718407182</v>
      </c>
      <c r="AT302" s="5">
        <v>0</v>
      </c>
      <c r="AU302" s="5">
        <v>0</v>
      </c>
      <c r="AV302" s="5">
        <v>0</v>
      </c>
      <c r="AW302" s="5">
        <v>0</v>
      </c>
      <c r="AX302" s="5">
        <v>5.10652739484071</v>
      </c>
      <c r="AY302" s="5">
        <v>-7.00458333333333</v>
      </c>
      <c r="AZ302" s="5">
        <v>0.8</v>
      </c>
      <c r="BA302" s="5">
        <v>1</v>
      </c>
    </row>
    <row r="303" hidden="1" spans="1:53">
      <c r="A303" t="s">
        <v>53</v>
      </c>
      <c r="B303" t="s">
        <v>73</v>
      </c>
      <c r="C303" t="s">
        <v>55</v>
      </c>
      <c r="D303" s="4" t="s">
        <v>63</v>
      </c>
      <c r="E303">
        <v>0.117187</v>
      </c>
      <c r="F303">
        <v>6.7</v>
      </c>
      <c r="G303">
        <v>1</v>
      </c>
      <c r="H303">
        <v>17</v>
      </c>
      <c r="I303">
        <v>44</v>
      </c>
      <c r="J303">
        <v>36</v>
      </c>
      <c r="K303">
        <v>20</v>
      </c>
      <c r="L303" t="s">
        <v>57</v>
      </c>
      <c r="M303" t="s">
        <v>58</v>
      </c>
      <c r="N303" t="s">
        <v>87</v>
      </c>
      <c r="O303">
        <v>0.13291525764</v>
      </c>
      <c r="P303">
        <f t="shared" si="11"/>
        <v>1.13421503784549</v>
      </c>
      <c r="Q303">
        <f t="shared" si="10"/>
        <v>0.125940815058208</v>
      </c>
      <c r="R303">
        <v>150</v>
      </c>
      <c r="S303" t="s">
        <v>60</v>
      </c>
      <c r="T303" t="s">
        <v>61</v>
      </c>
      <c r="U303" t="s">
        <v>62</v>
      </c>
      <c r="V303">
        <v>1</v>
      </c>
      <c r="W303">
        <v>0</v>
      </c>
      <c r="X303">
        <v>1</v>
      </c>
      <c r="Y303">
        <v>1</v>
      </c>
      <c r="Z303">
        <v>0</v>
      </c>
      <c r="AA303">
        <v>0</v>
      </c>
      <c r="AB303">
        <v>1</v>
      </c>
      <c r="AC303">
        <v>0</v>
      </c>
      <c r="AD303">
        <v>1</v>
      </c>
      <c r="AE303" s="5">
        <v>12.2120833333333</v>
      </c>
      <c r="AF303" s="5">
        <v>7.00097222222222</v>
      </c>
      <c r="AG303" s="5">
        <v>0.642528075697275</v>
      </c>
      <c r="AH303" s="5">
        <v>16.1176470588235</v>
      </c>
      <c r="AI303" s="5">
        <v>0.459694901747447</v>
      </c>
      <c r="AJ303" s="5">
        <v>-0.280752981483328</v>
      </c>
      <c r="AK303" s="5">
        <v>0.459694901747447</v>
      </c>
      <c r="AL303" s="5">
        <v>0.280752981483328</v>
      </c>
      <c r="AM303" s="5">
        <v>10.1452721658031</v>
      </c>
      <c r="AN303" s="5">
        <v>-0.382289160206052</v>
      </c>
      <c r="AO303" s="5">
        <v>-0.72</v>
      </c>
      <c r="AP303" s="5">
        <v>1212.20967645111</v>
      </c>
      <c r="AQ303" s="5">
        <v>2.16502218725737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4.55274987369036</v>
      </c>
      <c r="AY303" s="5">
        <v>-7.13430555555556</v>
      </c>
      <c r="AZ303" s="5">
        <v>1</v>
      </c>
      <c r="BA303" s="5">
        <v>1</v>
      </c>
    </row>
    <row r="304" hidden="1" spans="1:53">
      <c r="A304" t="s">
        <v>53</v>
      </c>
      <c r="B304" t="s">
        <v>73</v>
      </c>
      <c r="C304" t="s">
        <v>55</v>
      </c>
      <c r="D304" s="4" t="s">
        <v>65</v>
      </c>
      <c r="E304">
        <v>0.058594</v>
      </c>
      <c r="F304">
        <v>6.7</v>
      </c>
      <c r="G304">
        <v>1</v>
      </c>
      <c r="H304">
        <v>17</v>
      </c>
      <c r="I304">
        <v>44</v>
      </c>
      <c r="J304">
        <v>36</v>
      </c>
      <c r="K304">
        <v>20</v>
      </c>
      <c r="L304" t="s">
        <v>57</v>
      </c>
      <c r="M304" t="s">
        <v>58</v>
      </c>
      <c r="N304" t="s">
        <v>87</v>
      </c>
      <c r="O304">
        <v>0.19619369748</v>
      </c>
      <c r="P304">
        <f t="shared" si="11"/>
        <v>3.34835815066389</v>
      </c>
      <c r="Q304">
        <f t="shared" si="10"/>
        <v>1.20847012141718</v>
      </c>
      <c r="R304">
        <v>150</v>
      </c>
      <c r="S304" t="s">
        <v>60</v>
      </c>
      <c r="T304" t="s">
        <v>61</v>
      </c>
      <c r="U304" t="s">
        <v>62</v>
      </c>
      <c r="V304">
        <v>1</v>
      </c>
      <c r="W304">
        <v>0</v>
      </c>
      <c r="X304">
        <v>1</v>
      </c>
      <c r="Y304">
        <v>1</v>
      </c>
      <c r="Z304">
        <v>0</v>
      </c>
      <c r="AA304">
        <v>0</v>
      </c>
      <c r="AB304">
        <v>1</v>
      </c>
      <c r="AC304">
        <v>0</v>
      </c>
      <c r="AD304">
        <v>1</v>
      </c>
      <c r="AE304" s="5">
        <v>12.6956944444444</v>
      </c>
      <c r="AF304" s="5">
        <v>7.51923752834467</v>
      </c>
      <c r="AG304" s="5">
        <v>0.567423483996869</v>
      </c>
      <c r="AH304" s="5">
        <v>16.6086956521739</v>
      </c>
      <c r="AI304" s="5">
        <v>0.459647303367286</v>
      </c>
      <c r="AJ304" s="5">
        <v>-0.280752999575136</v>
      </c>
      <c r="AK304" s="5">
        <v>0.459647303367286</v>
      </c>
      <c r="AL304" s="5">
        <v>0.280752999575136</v>
      </c>
      <c r="AM304" s="5">
        <v>9.97962409166519</v>
      </c>
      <c r="AN304" s="5">
        <v>-0.433260944725331</v>
      </c>
      <c r="AO304" s="5">
        <v>-1</v>
      </c>
      <c r="AP304" s="5">
        <v>14934.5346948423</v>
      </c>
      <c r="AQ304" s="5">
        <v>2.69882520469918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4.55274987369036</v>
      </c>
      <c r="AY304" s="5">
        <v>-7.5938637329932</v>
      </c>
      <c r="AZ304" s="5">
        <v>1</v>
      </c>
      <c r="BA304" s="5">
        <v>1</v>
      </c>
    </row>
    <row r="305" hidden="1" spans="1:53">
      <c r="A305" t="s">
        <v>53</v>
      </c>
      <c r="B305" t="s">
        <v>73</v>
      </c>
      <c r="C305" t="s">
        <v>55</v>
      </c>
      <c r="D305" s="4" t="s">
        <v>66</v>
      </c>
      <c r="E305">
        <v>0.64453</v>
      </c>
      <c r="F305">
        <v>6.7</v>
      </c>
      <c r="G305">
        <v>1</v>
      </c>
      <c r="H305">
        <v>17</v>
      </c>
      <c r="I305">
        <v>44</v>
      </c>
      <c r="J305">
        <v>36</v>
      </c>
      <c r="K305">
        <v>20</v>
      </c>
      <c r="L305" t="s">
        <v>57</v>
      </c>
      <c r="M305" t="s">
        <v>58</v>
      </c>
      <c r="N305" t="s">
        <v>87</v>
      </c>
      <c r="O305">
        <v>0.706295304</v>
      </c>
      <c r="P305">
        <f t="shared" si="11"/>
        <v>1.09582999084604</v>
      </c>
      <c r="Q305">
        <f t="shared" si="10"/>
        <v>0.0915120586526053</v>
      </c>
      <c r="R305">
        <v>150</v>
      </c>
      <c r="S305" t="s">
        <v>60</v>
      </c>
      <c r="T305" t="s">
        <v>61</v>
      </c>
      <c r="U305" t="s">
        <v>62</v>
      </c>
      <c r="V305">
        <v>1</v>
      </c>
      <c r="W305">
        <v>0</v>
      </c>
      <c r="X305">
        <v>1</v>
      </c>
      <c r="Y305">
        <v>1</v>
      </c>
      <c r="Z305">
        <v>0</v>
      </c>
      <c r="AA305">
        <v>0</v>
      </c>
      <c r="AB305">
        <v>1</v>
      </c>
      <c r="AC305">
        <v>0</v>
      </c>
      <c r="AD305">
        <v>1</v>
      </c>
      <c r="AE305" s="5">
        <v>12.8254166666667</v>
      </c>
      <c r="AF305" s="5">
        <v>4.27882137345679</v>
      </c>
      <c r="AG305" s="5">
        <v>0.653062667189842</v>
      </c>
      <c r="AH305" s="5">
        <v>16.12</v>
      </c>
      <c r="AI305" s="5">
        <v>0.459647294455008</v>
      </c>
      <c r="AJ305" s="5">
        <v>-0.47662745733429</v>
      </c>
      <c r="AK305" s="5">
        <v>0.47662745733429</v>
      </c>
      <c r="AL305" s="5">
        <v>0.459647294455008</v>
      </c>
      <c r="AM305" s="5">
        <v>9.90907137329749</v>
      </c>
      <c r="AN305" s="5">
        <v>-0.449718247791216</v>
      </c>
      <c r="AO305" s="5">
        <v>-1.58</v>
      </c>
      <c r="AP305" s="5">
        <v>39741.8973369129</v>
      </c>
      <c r="AQ305" s="5">
        <v>2.73920148528388</v>
      </c>
      <c r="AR305" s="5">
        <v>0</v>
      </c>
      <c r="AS305" s="5">
        <v>4.79453718407182</v>
      </c>
      <c r="AT305" s="5">
        <v>0</v>
      </c>
      <c r="AU305" s="5">
        <v>0</v>
      </c>
      <c r="AV305" s="5">
        <v>0</v>
      </c>
      <c r="AW305" s="5">
        <v>0</v>
      </c>
      <c r="AX305" s="5">
        <v>5.10652739484071</v>
      </c>
      <c r="AY305" s="5">
        <v>-7.69383775037793</v>
      </c>
      <c r="AZ305" s="5">
        <v>0.875</v>
      </c>
      <c r="BA305" s="5">
        <v>1</v>
      </c>
    </row>
    <row r="306" hidden="1" spans="1:53">
      <c r="A306" t="s">
        <v>53</v>
      </c>
      <c r="B306" t="s">
        <v>73</v>
      </c>
      <c r="C306" t="s">
        <v>55</v>
      </c>
      <c r="D306" s="4" t="s">
        <v>67</v>
      </c>
      <c r="E306">
        <v>0.0234399999999999</v>
      </c>
      <c r="F306">
        <v>6.7</v>
      </c>
      <c r="G306">
        <v>1</v>
      </c>
      <c r="H306">
        <v>17</v>
      </c>
      <c r="I306">
        <v>44</v>
      </c>
      <c r="J306">
        <v>36</v>
      </c>
      <c r="K306">
        <v>20</v>
      </c>
      <c r="L306" t="s">
        <v>57</v>
      </c>
      <c r="M306" t="s">
        <v>58</v>
      </c>
      <c r="N306" t="s">
        <v>87</v>
      </c>
      <c r="O306">
        <v>1.526017878</v>
      </c>
      <c r="P306">
        <f t="shared" si="11"/>
        <v>65.1031517918092</v>
      </c>
      <c r="Q306">
        <f t="shared" si="10"/>
        <v>4.1759729626633</v>
      </c>
      <c r="R306">
        <v>150</v>
      </c>
      <c r="S306" t="s">
        <v>60</v>
      </c>
      <c r="T306" t="s">
        <v>61</v>
      </c>
      <c r="U306" t="s">
        <v>62</v>
      </c>
      <c r="V306">
        <v>1</v>
      </c>
      <c r="W306">
        <v>0</v>
      </c>
      <c r="X306">
        <v>1</v>
      </c>
      <c r="Y306">
        <v>1</v>
      </c>
      <c r="Z306">
        <v>0</v>
      </c>
      <c r="AA306">
        <v>0</v>
      </c>
      <c r="AB306">
        <v>1</v>
      </c>
      <c r="AC306">
        <v>0</v>
      </c>
      <c r="AD306">
        <v>1</v>
      </c>
      <c r="AE306" s="5">
        <v>13.0371419123205</v>
      </c>
      <c r="AF306" s="5">
        <v>7.66829457707096</v>
      </c>
      <c r="AG306" s="5">
        <v>0.402493807679921</v>
      </c>
      <c r="AH306" s="5">
        <v>16.8965517241379</v>
      </c>
      <c r="AI306" s="5">
        <v>0.459647294440031</v>
      </c>
      <c r="AJ306" s="5">
        <v>-0.280752999575314</v>
      </c>
      <c r="AK306" s="5">
        <v>0.459647294440031</v>
      </c>
      <c r="AL306" s="5">
        <v>0.280752999575314</v>
      </c>
      <c r="AM306" s="5">
        <v>9.90856544965598</v>
      </c>
      <c r="AN306" s="5">
        <v>-0.457885273814649</v>
      </c>
      <c r="AO306" s="5">
        <v>-1.28</v>
      </c>
      <c r="AP306" s="5">
        <v>176558.643253875</v>
      </c>
      <c r="AQ306" s="5">
        <v>3.26474212239717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4.55274987369036</v>
      </c>
      <c r="AY306" s="5">
        <v>-7.88274914441085</v>
      </c>
      <c r="AZ306" s="5">
        <v>1</v>
      </c>
      <c r="BA306" s="5">
        <v>1</v>
      </c>
    </row>
    <row r="307" hidden="1" spans="1:53">
      <c r="A307" t="s">
        <v>53</v>
      </c>
      <c r="B307" t="s">
        <v>74</v>
      </c>
      <c r="C307" t="s">
        <v>55</v>
      </c>
      <c r="D307" s="4" t="s">
        <v>63</v>
      </c>
      <c r="E307">
        <v>0.175782</v>
      </c>
      <c r="F307">
        <v>6.7</v>
      </c>
      <c r="G307">
        <v>1</v>
      </c>
      <c r="H307">
        <v>17</v>
      </c>
      <c r="I307">
        <v>44</v>
      </c>
      <c r="J307">
        <v>36</v>
      </c>
      <c r="K307">
        <v>20</v>
      </c>
      <c r="L307" t="s">
        <v>57</v>
      </c>
      <c r="M307" t="s">
        <v>58</v>
      </c>
      <c r="N307" t="s">
        <v>87</v>
      </c>
      <c r="O307">
        <v>0.17743182688</v>
      </c>
      <c r="P307">
        <f t="shared" si="11"/>
        <v>1.00938564176082</v>
      </c>
      <c r="Q307">
        <f t="shared" si="10"/>
        <v>0.00934187029424171</v>
      </c>
      <c r="R307">
        <v>150</v>
      </c>
      <c r="S307" t="s">
        <v>60</v>
      </c>
      <c r="T307" t="s">
        <v>61</v>
      </c>
      <c r="U307" t="s">
        <v>62</v>
      </c>
      <c r="V307">
        <v>1</v>
      </c>
      <c r="W307">
        <v>0</v>
      </c>
      <c r="X307">
        <v>1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1</v>
      </c>
      <c r="AE307" s="5">
        <v>12.2120833333333</v>
      </c>
      <c r="AF307" s="5">
        <v>7.00097222222222</v>
      </c>
      <c r="AG307" s="5">
        <v>0.642528075697275</v>
      </c>
      <c r="AH307" s="5">
        <v>16.1176470588235</v>
      </c>
      <c r="AI307" s="5">
        <v>0.459694901747447</v>
      </c>
      <c r="AJ307" s="5">
        <v>-0.280752981483328</v>
      </c>
      <c r="AK307" s="5">
        <v>0.459694901747447</v>
      </c>
      <c r="AL307" s="5">
        <v>0.280752981483328</v>
      </c>
      <c r="AM307" s="5">
        <v>10.1452721658031</v>
      </c>
      <c r="AN307" s="5">
        <v>-0.382289160206052</v>
      </c>
      <c r="AO307" s="5">
        <v>-0.72</v>
      </c>
      <c r="AP307" s="5">
        <v>1212.20967645111</v>
      </c>
      <c r="AQ307" s="5">
        <v>2.16502218725737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4.55274987369036</v>
      </c>
      <c r="AY307" s="5">
        <v>-7.13430555555556</v>
      </c>
      <c r="AZ307" s="5">
        <v>1</v>
      </c>
      <c r="BA307" s="5">
        <v>1</v>
      </c>
    </row>
    <row r="308" hidden="1" spans="1:53">
      <c r="A308" t="s">
        <v>53</v>
      </c>
      <c r="B308" t="s">
        <v>74</v>
      </c>
      <c r="C308" t="s">
        <v>55</v>
      </c>
      <c r="D308" s="4" t="s">
        <v>64</v>
      </c>
      <c r="E308">
        <v>0.023437</v>
      </c>
      <c r="F308">
        <v>6.7</v>
      </c>
      <c r="G308">
        <v>1</v>
      </c>
      <c r="H308">
        <v>17</v>
      </c>
      <c r="I308">
        <v>44</v>
      </c>
      <c r="J308">
        <v>36</v>
      </c>
      <c r="K308">
        <v>20</v>
      </c>
      <c r="L308" t="s">
        <v>57</v>
      </c>
      <c r="M308" t="s">
        <v>58</v>
      </c>
      <c r="N308" t="s">
        <v>87</v>
      </c>
      <c r="O308">
        <v>0.23992851312</v>
      </c>
      <c r="P308">
        <f t="shared" si="11"/>
        <v>10.2371682860434</v>
      </c>
      <c r="Q308">
        <f t="shared" si="10"/>
        <v>2.32602504680256</v>
      </c>
      <c r="R308">
        <v>150</v>
      </c>
      <c r="S308" t="s">
        <v>60</v>
      </c>
      <c r="T308" t="s">
        <v>61</v>
      </c>
      <c r="U308" t="s">
        <v>62</v>
      </c>
      <c r="V308">
        <v>1</v>
      </c>
      <c r="W308">
        <v>0</v>
      </c>
      <c r="X308">
        <v>1</v>
      </c>
      <c r="Y308">
        <v>1</v>
      </c>
      <c r="Z308">
        <v>0</v>
      </c>
      <c r="AA308">
        <v>0</v>
      </c>
      <c r="AB308">
        <v>1</v>
      </c>
      <c r="AC308">
        <v>0</v>
      </c>
      <c r="AD308">
        <v>1</v>
      </c>
      <c r="AE308" s="5">
        <v>12.3952083333333</v>
      </c>
      <c r="AF308" s="5">
        <v>3.99060232426304</v>
      </c>
      <c r="AG308" s="5">
        <v>0.809418673219238</v>
      </c>
      <c r="AH308" s="5">
        <v>15.5263157894737</v>
      </c>
      <c r="AI308" s="5">
        <v>0.459647654411774</v>
      </c>
      <c r="AJ308" s="5">
        <v>-0.476627457257861</v>
      </c>
      <c r="AK308" s="5">
        <v>0.476627457257861</v>
      </c>
      <c r="AL308" s="5">
        <v>0.459647654411774</v>
      </c>
      <c r="AM308" s="5">
        <v>9.98060231888395</v>
      </c>
      <c r="AN308" s="5">
        <v>-0.417658943556199</v>
      </c>
      <c r="AO308" s="5">
        <v>-1.3</v>
      </c>
      <c r="AP308" s="5">
        <v>3314.44680161703</v>
      </c>
      <c r="AQ308" s="5">
        <v>2.17852386673025</v>
      </c>
      <c r="AR308" s="5">
        <v>0</v>
      </c>
      <c r="AS308" s="5">
        <v>4.79453718407182</v>
      </c>
      <c r="AT308" s="5">
        <v>0</v>
      </c>
      <c r="AU308" s="5">
        <v>0</v>
      </c>
      <c r="AV308" s="5">
        <v>0</v>
      </c>
      <c r="AW308" s="5">
        <v>0</v>
      </c>
      <c r="AX308" s="5">
        <v>5.10652739484071</v>
      </c>
      <c r="AY308" s="5">
        <v>-7.29710978835979</v>
      </c>
      <c r="AZ308" s="5">
        <v>0.833333333333333</v>
      </c>
      <c r="BA308" s="5">
        <v>1</v>
      </c>
    </row>
    <row r="309" hidden="1" spans="1:53">
      <c r="A309" t="s">
        <v>53</v>
      </c>
      <c r="B309" t="s">
        <v>74</v>
      </c>
      <c r="C309" t="s">
        <v>55</v>
      </c>
      <c r="D309" s="4" t="s">
        <v>65</v>
      </c>
      <c r="E309">
        <v>0.11719</v>
      </c>
      <c r="F309">
        <v>6.7</v>
      </c>
      <c r="G309">
        <v>1</v>
      </c>
      <c r="H309">
        <v>17</v>
      </c>
      <c r="I309">
        <v>44</v>
      </c>
      <c r="J309">
        <v>36</v>
      </c>
      <c r="K309">
        <v>20</v>
      </c>
      <c r="L309" t="s">
        <v>57</v>
      </c>
      <c r="M309" t="s">
        <v>58</v>
      </c>
      <c r="N309" t="s">
        <v>87</v>
      </c>
      <c r="O309">
        <v>0.2485807864</v>
      </c>
      <c r="P309">
        <f t="shared" si="11"/>
        <v>2.12117745882755</v>
      </c>
      <c r="Q309">
        <f t="shared" si="10"/>
        <v>0.751971339610923</v>
      </c>
      <c r="R309">
        <v>150</v>
      </c>
      <c r="S309" t="s">
        <v>60</v>
      </c>
      <c r="T309" t="s">
        <v>61</v>
      </c>
      <c r="U309" t="s">
        <v>62</v>
      </c>
      <c r="V309">
        <v>1</v>
      </c>
      <c r="W309">
        <v>0</v>
      </c>
      <c r="X309">
        <v>1</v>
      </c>
      <c r="Y309">
        <v>1</v>
      </c>
      <c r="Z309">
        <v>0</v>
      </c>
      <c r="AA309">
        <v>0</v>
      </c>
      <c r="AB309">
        <v>1</v>
      </c>
      <c r="AC309">
        <v>0</v>
      </c>
      <c r="AD309">
        <v>1</v>
      </c>
      <c r="AE309" s="5">
        <v>12.6956944444444</v>
      </c>
      <c r="AF309" s="5">
        <v>7.51923752834467</v>
      </c>
      <c r="AG309" s="5">
        <v>0.567423483996869</v>
      </c>
      <c r="AH309" s="5">
        <v>16.6086956521739</v>
      </c>
      <c r="AI309" s="5">
        <v>0.459647303367286</v>
      </c>
      <c r="AJ309" s="5">
        <v>-0.280752999575136</v>
      </c>
      <c r="AK309" s="5">
        <v>0.459647303367286</v>
      </c>
      <c r="AL309" s="5">
        <v>0.280752999575136</v>
      </c>
      <c r="AM309" s="5">
        <v>9.97962409166519</v>
      </c>
      <c r="AN309" s="5">
        <v>-0.433260944725331</v>
      </c>
      <c r="AO309" s="5">
        <v>-1</v>
      </c>
      <c r="AP309" s="5">
        <v>14934.5346948423</v>
      </c>
      <c r="AQ309" s="5">
        <v>2.69882520469918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4.55274987369036</v>
      </c>
      <c r="AY309" s="5">
        <v>-7.5938637329932</v>
      </c>
      <c r="AZ309" s="5">
        <v>1</v>
      </c>
      <c r="BA309" s="5">
        <v>1</v>
      </c>
    </row>
    <row r="310" hidden="1" spans="1:53">
      <c r="A310" t="s">
        <v>53</v>
      </c>
      <c r="B310" t="s">
        <v>74</v>
      </c>
      <c r="C310" t="s">
        <v>55</v>
      </c>
      <c r="D310" s="4" t="s">
        <v>66</v>
      </c>
      <c r="E310">
        <v>0.29297</v>
      </c>
      <c r="F310">
        <v>6.7</v>
      </c>
      <c r="G310">
        <v>1</v>
      </c>
      <c r="H310">
        <v>17</v>
      </c>
      <c r="I310">
        <v>44</v>
      </c>
      <c r="J310">
        <v>36</v>
      </c>
      <c r="K310">
        <v>20</v>
      </c>
      <c r="L310" t="s">
        <v>57</v>
      </c>
      <c r="M310" t="s">
        <v>58</v>
      </c>
      <c r="N310" t="s">
        <v>87</v>
      </c>
      <c r="O310">
        <v>0.667202976</v>
      </c>
      <c r="P310">
        <f t="shared" si="11"/>
        <v>2.27737644127385</v>
      </c>
      <c r="Q310">
        <f t="shared" si="10"/>
        <v>0.823024096769794</v>
      </c>
      <c r="R310">
        <v>150</v>
      </c>
      <c r="S310" t="s">
        <v>60</v>
      </c>
      <c r="T310" t="s">
        <v>61</v>
      </c>
      <c r="U310" t="s">
        <v>62</v>
      </c>
      <c r="V310">
        <v>1</v>
      </c>
      <c r="W310">
        <v>0</v>
      </c>
      <c r="X310">
        <v>1</v>
      </c>
      <c r="Y310">
        <v>1</v>
      </c>
      <c r="Z310">
        <v>0</v>
      </c>
      <c r="AA310">
        <v>0</v>
      </c>
      <c r="AB310">
        <v>1</v>
      </c>
      <c r="AC310">
        <v>0</v>
      </c>
      <c r="AD310">
        <v>1</v>
      </c>
      <c r="AE310" s="5">
        <v>12.8254166666667</v>
      </c>
      <c r="AF310" s="5">
        <v>4.27882137345679</v>
      </c>
      <c r="AG310" s="5">
        <v>0.653062667189842</v>
      </c>
      <c r="AH310" s="5">
        <v>16.12</v>
      </c>
      <c r="AI310" s="5">
        <v>0.459647294455008</v>
      </c>
      <c r="AJ310" s="5">
        <v>-0.47662745733429</v>
      </c>
      <c r="AK310" s="5">
        <v>0.47662745733429</v>
      </c>
      <c r="AL310" s="5">
        <v>0.459647294455008</v>
      </c>
      <c r="AM310" s="5">
        <v>9.90907137329749</v>
      </c>
      <c r="AN310" s="5">
        <v>-0.449718247791216</v>
      </c>
      <c r="AO310" s="5">
        <v>-1.58</v>
      </c>
      <c r="AP310" s="5">
        <v>39741.8973369129</v>
      </c>
      <c r="AQ310" s="5">
        <v>2.73920148528388</v>
      </c>
      <c r="AR310" s="5">
        <v>0</v>
      </c>
      <c r="AS310" s="5">
        <v>4.79453718407182</v>
      </c>
      <c r="AT310" s="5">
        <v>0</v>
      </c>
      <c r="AU310" s="5">
        <v>0</v>
      </c>
      <c r="AV310" s="5">
        <v>0</v>
      </c>
      <c r="AW310" s="5">
        <v>0</v>
      </c>
      <c r="AX310" s="5">
        <v>5.10652739484071</v>
      </c>
      <c r="AY310" s="5">
        <v>-7.69383775037793</v>
      </c>
      <c r="AZ310" s="5">
        <v>0.875</v>
      </c>
      <c r="BA310" s="5">
        <v>1</v>
      </c>
    </row>
    <row r="311" hidden="1" spans="1:53">
      <c r="A311" t="s">
        <v>53</v>
      </c>
      <c r="B311" t="s">
        <v>74</v>
      </c>
      <c r="C311" t="s">
        <v>55</v>
      </c>
      <c r="D311" s="4" t="s">
        <v>67</v>
      </c>
      <c r="E311">
        <v>0.0586</v>
      </c>
      <c r="F311">
        <v>6.7</v>
      </c>
      <c r="G311">
        <v>1</v>
      </c>
      <c r="H311">
        <v>17</v>
      </c>
      <c r="I311">
        <v>44</v>
      </c>
      <c r="J311">
        <v>36</v>
      </c>
      <c r="K311">
        <v>20</v>
      </c>
      <c r="L311" t="s">
        <v>57</v>
      </c>
      <c r="M311" t="s">
        <v>58</v>
      </c>
      <c r="N311" t="s">
        <v>87</v>
      </c>
      <c r="O311">
        <v>1.4392219192</v>
      </c>
      <c r="P311">
        <f t="shared" si="11"/>
        <v>24.5601010102389</v>
      </c>
      <c r="Q311">
        <f t="shared" si="10"/>
        <v>3.20112321606523</v>
      </c>
      <c r="R311">
        <v>150</v>
      </c>
      <c r="S311" t="s">
        <v>60</v>
      </c>
      <c r="T311" t="s">
        <v>61</v>
      </c>
      <c r="U311" t="s">
        <v>62</v>
      </c>
      <c r="V311">
        <v>1</v>
      </c>
      <c r="W311">
        <v>0</v>
      </c>
      <c r="X311">
        <v>1</v>
      </c>
      <c r="Y311">
        <v>1</v>
      </c>
      <c r="Z311">
        <v>0</v>
      </c>
      <c r="AA311">
        <v>0</v>
      </c>
      <c r="AB311">
        <v>1</v>
      </c>
      <c r="AC311">
        <v>0</v>
      </c>
      <c r="AD311">
        <v>1</v>
      </c>
      <c r="AE311" s="5">
        <v>13.0371419123205</v>
      </c>
      <c r="AF311" s="5">
        <v>7.66829457707096</v>
      </c>
      <c r="AG311" s="5">
        <v>0.402493807679921</v>
      </c>
      <c r="AH311" s="5">
        <v>16.8965517241379</v>
      </c>
      <c r="AI311" s="5">
        <v>0.459647294440031</v>
      </c>
      <c r="AJ311" s="5">
        <v>-0.280752999575314</v>
      </c>
      <c r="AK311" s="5">
        <v>0.459647294440031</v>
      </c>
      <c r="AL311" s="5">
        <v>0.280752999575314</v>
      </c>
      <c r="AM311" s="5">
        <v>9.90856544965598</v>
      </c>
      <c r="AN311" s="5">
        <v>-0.457885273814649</v>
      </c>
      <c r="AO311" s="5">
        <v>-1.28</v>
      </c>
      <c r="AP311" s="5">
        <v>176558.643253875</v>
      </c>
      <c r="AQ311" s="5">
        <v>3.26474212239717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4.55274987369036</v>
      </c>
      <c r="AY311" s="5">
        <v>-7.88274914441085</v>
      </c>
      <c r="AZ311" s="5">
        <v>1</v>
      </c>
      <c r="BA311" s="5">
        <v>1</v>
      </c>
    </row>
    <row r="312" hidden="1" spans="1:53">
      <c r="A312" t="s">
        <v>53</v>
      </c>
      <c r="B312" t="s">
        <v>74</v>
      </c>
      <c r="C312" t="s">
        <v>55</v>
      </c>
      <c r="D312" s="4" t="s">
        <v>68</v>
      </c>
      <c r="E312">
        <v>0.0234299999999998</v>
      </c>
      <c r="F312">
        <v>6.7</v>
      </c>
      <c r="G312">
        <v>1</v>
      </c>
      <c r="H312">
        <v>17</v>
      </c>
      <c r="I312">
        <v>44</v>
      </c>
      <c r="J312">
        <v>36</v>
      </c>
      <c r="K312">
        <v>20</v>
      </c>
      <c r="L312" t="s">
        <v>57</v>
      </c>
      <c r="M312" t="s">
        <v>58</v>
      </c>
      <c r="N312" t="s">
        <v>87</v>
      </c>
      <c r="O312">
        <v>0.8124339784</v>
      </c>
      <c r="P312">
        <f t="shared" si="11"/>
        <v>34.6749457276998</v>
      </c>
      <c r="Q312">
        <f t="shared" si="10"/>
        <v>3.54601740102879</v>
      </c>
      <c r="R312">
        <v>150</v>
      </c>
      <c r="S312" t="s">
        <v>60</v>
      </c>
      <c r="T312" t="s">
        <v>61</v>
      </c>
      <c r="U312" t="s">
        <v>62</v>
      </c>
      <c r="V312">
        <v>1</v>
      </c>
      <c r="W312">
        <v>0</v>
      </c>
      <c r="X312">
        <v>1</v>
      </c>
      <c r="Y312">
        <v>1</v>
      </c>
      <c r="Z312">
        <v>0</v>
      </c>
      <c r="AA312">
        <v>0</v>
      </c>
      <c r="AB312">
        <v>1</v>
      </c>
      <c r="AC312">
        <v>0</v>
      </c>
      <c r="AD312">
        <v>1</v>
      </c>
      <c r="AE312" s="5">
        <v>12.1252083333333</v>
      </c>
      <c r="AF312" s="5">
        <v>3.79034722222222</v>
      </c>
      <c r="AG312" s="5">
        <v>0.795108310685598</v>
      </c>
      <c r="AH312" s="5">
        <v>15.0625</v>
      </c>
      <c r="AI312" s="5">
        <v>0.459665733935349</v>
      </c>
      <c r="AJ312" s="5">
        <v>-0.476627440416371</v>
      </c>
      <c r="AK312" s="5">
        <v>0.476627440416371</v>
      </c>
      <c r="AL312" s="5">
        <v>0.459665733935349</v>
      </c>
      <c r="AM312" s="5">
        <v>10.044436145131</v>
      </c>
      <c r="AN312" s="5">
        <v>-0.389909625311938</v>
      </c>
      <c r="AO312" s="5">
        <v>-1.16</v>
      </c>
      <c r="AP312" s="5">
        <v>939.726830541714</v>
      </c>
      <c r="AQ312" s="5">
        <v>1.77550667912426</v>
      </c>
      <c r="AR312" s="5">
        <v>0</v>
      </c>
      <c r="AS312" s="5">
        <v>4.79453718407182</v>
      </c>
      <c r="AT312" s="5">
        <v>0</v>
      </c>
      <c r="AU312" s="5">
        <v>0</v>
      </c>
      <c r="AV312" s="5">
        <v>0</v>
      </c>
      <c r="AW312" s="5">
        <v>0</v>
      </c>
      <c r="AX312" s="5">
        <v>5.10652739484071</v>
      </c>
      <c r="AY312" s="5">
        <v>-7.00458333333333</v>
      </c>
      <c r="AZ312" s="5">
        <v>0.8</v>
      </c>
      <c r="BA312" s="5">
        <v>1</v>
      </c>
    </row>
    <row r="313" hidden="1" spans="1:53">
      <c r="A313" t="s">
        <v>53</v>
      </c>
      <c r="B313" t="s">
        <v>75</v>
      </c>
      <c r="C313" t="s">
        <v>55</v>
      </c>
      <c r="D313" s="4" t="s">
        <v>63</v>
      </c>
      <c r="E313">
        <v>0.257815</v>
      </c>
      <c r="F313">
        <v>6.7</v>
      </c>
      <c r="G313">
        <v>1</v>
      </c>
      <c r="H313">
        <v>17</v>
      </c>
      <c r="I313">
        <v>44</v>
      </c>
      <c r="J313">
        <v>36</v>
      </c>
      <c r="K313">
        <v>20</v>
      </c>
      <c r="L313" t="s">
        <v>57</v>
      </c>
      <c r="M313" t="s">
        <v>58</v>
      </c>
      <c r="N313" t="s">
        <v>87</v>
      </c>
      <c r="O313">
        <v>0.15739144923</v>
      </c>
      <c r="P313">
        <f t="shared" si="11"/>
        <v>0.610482125671509</v>
      </c>
      <c r="Q313">
        <f t="shared" si="10"/>
        <v>-0.493506264039339</v>
      </c>
      <c r="R313">
        <v>150</v>
      </c>
      <c r="S313" t="s">
        <v>60</v>
      </c>
      <c r="T313" t="s">
        <v>61</v>
      </c>
      <c r="U313" t="s">
        <v>62</v>
      </c>
      <c r="V313">
        <v>1</v>
      </c>
      <c r="W313">
        <v>0</v>
      </c>
      <c r="X313">
        <v>1</v>
      </c>
      <c r="Y313">
        <v>1</v>
      </c>
      <c r="Z313">
        <v>0</v>
      </c>
      <c r="AA313">
        <v>0</v>
      </c>
      <c r="AB313">
        <v>1</v>
      </c>
      <c r="AC313">
        <v>0</v>
      </c>
      <c r="AD313">
        <v>1</v>
      </c>
      <c r="AE313" s="5">
        <v>12.2120833333333</v>
      </c>
      <c r="AF313" s="5">
        <v>7.00097222222222</v>
      </c>
      <c r="AG313" s="5">
        <v>0.642528075697275</v>
      </c>
      <c r="AH313" s="5">
        <v>16.1176470588235</v>
      </c>
      <c r="AI313" s="5">
        <v>0.459694901747447</v>
      </c>
      <c r="AJ313" s="5">
        <v>-0.280752981483328</v>
      </c>
      <c r="AK313" s="5">
        <v>0.459694901747447</v>
      </c>
      <c r="AL313" s="5">
        <v>0.280752981483328</v>
      </c>
      <c r="AM313" s="5">
        <v>10.1452721658031</v>
      </c>
      <c r="AN313" s="5">
        <v>-0.382289160206052</v>
      </c>
      <c r="AO313" s="5">
        <v>-0.72</v>
      </c>
      <c r="AP313" s="5">
        <v>1212.20967645111</v>
      </c>
      <c r="AQ313" s="5">
        <v>2.16502218725737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4.55274987369036</v>
      </c>
      <c r="AY313" s="5">
        <v>-7.13430555555556</v>
      </c>
      <c r="AZ313" s="5">
        <v>1</v>
      </c>
      <c r="BA313" s="5">
        <v>1</v>
      </c>
    </row>
    <row r="314" hidden="1" spans="1:53">
      <c r="A314" t="s">
        <v>53</v>
      </c>
      <c r="B314" t="s">
        <v>75</v>
      </c>
      <c r="C314" t="s">
        <v>55</v>
      </c>
      <c r="D314" s="4" t="s">
        <v>64</v>
      </c>
      <c r="E314">
        <v>0.0234400000000001</v>
      </c>
      <c r="F314">
        <v>6.7</v>
      </c>
      <c r="G314">
        <v>1</v>
      </c>
      <c r="H314">
        <v>17</v>
      </c>
      <c r="I314">
        <v>44</v>
      </c>
      <c r="J314">
        <v>36</v>
      </c>
      <c r="K314">
        <v>20</v>
      </c>
      <c r="L314" t="s">
        <v>57</v>
      </c>
      <c r="M314" t="s">
        <v>58</v>
      </c>
      <c r="N314" t="s">
        <v>87</v>
      </c>
      <c r="O314">
        <v>0.20007271827</v>
      </c>
      <c r="P314">
        <f t="shared" si="11"/>
        <v>8.53552552346413</v>
      </c>
      <c r="Q314">
        <f t="shared" si="10"/>
        <v>2.1442369271059</v>
      </c>
      <c r="R314">
        <v>150</v>
      </c>
      <c r="S314" t="s">
        <v>60</v>
      </c>
      <c r="T314" t="s">
        <v>61</v>
      </c>
      <c r="U314" t="s">
        <v>62</v>
      </c>
      <c r="V314">
        <v>1</v>
      </c>
      <c r="W314">
        <v>0</v>
      </c>
      <c r="X314">
        <v>1</v>
      </c>
      <c r="Y314">
        <v>1</v>
      </c>
      <c r="Z314">
        <v>0</v>
      </c>
      <c r="AA314">
        <v>0</v>
      </c>
      <c r="AB314">
        <v>1</v>
      </c>
      <c r="AC314">
        <v>0</v>
      </c>
      <c r="AD314">
        <v>1</v>
      </c>
      <c r="AE314" s="5">
        <v>12.3952083333333</v>
      </c>
      <c r="AF314" s="5">
        <v>3.99060232426304</v>
      </c>
      <c r="AG314" s="5">
        <v>0.809418673219238</v>
      </c>
      <c r="AH314" s="5">
        <v>15.5263157894737</v>
      </c>
      <c r="AI314" s="5">
        <v>0.459647654411774</v>
      </c>
      <c r="AJ314" s="5">
        <v>-0.476627457257861</v>
      </c>
      <c r="AK314" s="5">
        <v>0.476627457257861</v>
      </c>
      <c r="AL314" s="5">
        <v>0.459647654411774</v>
      </c>
      <c r="AM314" s="5">
        <v>9.98060231888395</v>
      </c>
      <c r="AN314" s="5">
        <v>-0.417658943556199</v>
      </c>
      <c r="AO314" s="5">
        <v>-1.3</v>
      </c>
      <c r="AP314" s="5">
        <v>3314.44680161703</v>
      </c>
      <c r="AQ314" s="5">
        <v>2.17852386673025</v>
      </c>
      <c r="AR314" s="5">
        <v>0</v>
      </c>
      <c r="AS314" s="5">
        <v>4.79453718407182</v>
      </c>
      <c r="AT314" s="5">
        <v>0</v>
      </c>
      <c r="AU314" s="5">
        <v>0</v>
      </c>
      <c r="AV314" s="5">
        <v>0</v>
      </c>
      <c r="AW314" s="5">
        <v>0</v>
      </c>
      <c r="AX314" s="5">
        <v>5.10652739484071</v>
      </c>
      <c r="AY314" s="5">
        <v>-7.29710978835979</v>
      </c>
      <c r="AZ314" s="5">
        <v>0.833333333333333</v>
      </c>
      <c r="BA314" s="5">
        <v>1</v>
      </c>
    </row>
    <row r="315" hidden="1" spans="1:53">
      <c r="A315" t="s">
        <v>53</v>
      </c>
      <c r="B315" t="s">
        <v>75</v>
      </c>
      <c r="C315" t="s">
        <v>55</v>
      </c>
      <c r="D315" s="4" t="s">
        <v>65</v>
      </c>
      <c r="E315">
        <v>0.09375</v>
      </c>
      <c r="F315">
        <v>6.7</v>
      </c>
      <c r="G315">
        <v>1</v>
      </c>
      <c r="H315">
        <v>17</v>
      </c>
      <c r="I315">
        <v>44</v>
      </c>
      <c r="J315">
        <v>36</v>
      </c>
      <c r="K315">
        <v>20</v>
      </c>
      <c r="L315" t="s">
        <v>57</v>
      </c>
      <c r="M315" t="s">
        <v>58</v>
      </c>
      <c r="N315" t="s">
        <v>87</v>
      </c>
      <c r="O315">
        <v>0.1539633987</v>
      </c>
      <c r="P315">
        <f t="shared" si="11"/>
        <v>1.6422762528</v>
      </c>
      <c r="Q315">
        <f t="shared" si="10"/>
        <v>0.496083238535713</v>
      </c>
      <c r="R315">
        <v>150</v>
      </c>
      <c r="S315" t="s">
        <v>60</v>
      </c>
      <c r="T315" t="s">
        <v>61</v>
      </c>
      <c r="U315" t="s">
        <v>62</v>
      </c>
      <c r="V315">
        <v>1</v>
      </c>
      <c r="W315">
        <v>0</v>
      </c>
      <c r="X315">
        <v>1</v>
      </c>
      <c r="Y315">
        <v>1</v>
      </c>
      <c r="Z315">
        <v>0</v>
      </c>
      <c r="AA315">
        <v>0</v>
      </c>
      <c r="AB315">
        <v>1</v>
      </c>
      <c r="AC315">
        <v>0</v>
      </c>
      <c r="AD315">
        <v>1</v>
      </c>
      <c r="AE315" s="5">
        <v>12.6956944444444</v>
      </c>
      <c r="AF315" s="5">
        <v>7.51923752834467</v>
      </c>
      <c r="AG315" s="5">
        <v>0.567423483996869</v>
      </c>
      <c r="AH315" s="5">
        <v>16.6086956521739</v>
      </c>
      <c r="AI315" s="5">
        <v>0.459647303367286</v>
      </c>
      <c r="AJ315" s="5">
        <v>-0.280752999575136</v>
      </c>
      <c r="AK315" s="5">
        <v>0.459647303367286</v>
      </c>
      <c r="AL315" s="5">
        <v>0.280752999575136</v>
      </c>
      <c r="AM315" s="5">
        <v>9.97962409166519</v>
      </c>
      <c r="AN315" s="5">
        <v>-0.433260944725331</v>
      </c>
      <c r="AO315" s="5">
        <v>-1</v>
      </c>
      <c r="AP315" s="5">
        <v>14934.5346948423</v>
      </c>
      <c r="AQ315" s="5">
        <v>2.69882520469918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4.55274987369036</v>
      </c>
      <c r="AY315" s="5">
        <v>-7.5938637329932</v>
      </c>
      <c r="AZ315" s="5">
        <v>1</v>
      </c>
      <c r="BA315" s="5">
        <v>1</v>
      </c>
    </row>
    <row r="316" hidden="1" spans="1:53">
      <c r="A316" t="s">
        <v>53</v>
      </c>
      <c r="B316" t="s">
        <v>75</v>
      </c>
      <c r="C316" t="s">
        <v>55</v>
      </c>
      <c r="D316" s="4" t="s">
        <v>66</v>
      </c>
      <c r="E316">
        <v>0.43359</v>
      </c>
      <c r="F316">
        <v>6.7</v>
      </c>
      <c r="G316">
        <v>1</v>
      </c>
      <c r="H316">
        <v>17</v>
      </c>
      <c r="I316">
        <v>44</v>
      </c>
      <c r="J316">
        <v>36</v>
      </c>
      <c r="K316">
        <v>20</v>
      </c>
      <c r="L316" t="s">
        <v>57</v>
      </c>
      <c r="M316" t="s">
        <v>58</v>
      </c>
      <c r="N316" t="s">
        <v>87</v>
      </c>
      <c r="O316">
        <v>0.4809106739</v>
      </c>
      <c r="P316">
        <f t="shared" si="11"/>
        <v>1.10913691252105</v>
      </c>
      <c r="Q316">
        <f t="shared" si="10"/>
        <v>0.103582156583213</v>
      </c>
      <c r="R316">
        <v>150</v>
      </c>
      <c r="S316" t="s">
        <v>60</v>
      </c>
      <c r="T316" t="s">
        <v>61</v>
      </c>
      <c r="U316" t="s">
        <v>62</v>
      </c>
      <c r="V316">
        <v>1</v>
      </c>
      <c r="W316">
        <v>0</v>
      </c>
      <c r="X316">
        <v>1</v>
      </c>
      <c r="Y316">
        <v>1</v>
      </c>
      <c r="Z316">
        <v>0</v>
      </c>
      <c r="AA316">
        <v>0</v>
      </c>
      <c r="AB316">
        <v>1</v>
      </c>
      <c r="AC316">
        <v>0</v>
      </c>
      <c r="AD316">
        <v>1</v>
      </c>
      <c r="AE316" s="5">
        <v>12.8254166666667</v>
      </c>
      <c r="AF316" s="5">
        <v>4.27882137345679</v>
      </c>
      <c r="AG316" s="5">
        <v>0.653062667189842</v>
      </c>
      <c r="AH316" s="5">
        <v>16.12</v>
      </c>
      <c r="AI316" s="5">
        <v>0.459647294455008</v>
      </c>
      <c r="AJ316" s="5">
        <v>-0.47662745733429</v>
      </c>
      <c r="AK316" s="5">
        <v>0.47662745733429</v>
      </c>
      <c r="AL316" s="5">
        <v>0.459647294455008</v>
      </c>
      <c r="AM316" s="5">
        <v>9.90907137329749</v>
      </c>
      <c r="AN316" s="5">
        <v>-0.449718247791216</v>
      </c>
      <c r="AO316" s="5">
        <v>-1.58</v>
      </c>
      <c r="AP316" s="5">
        <v>39741.8973369129</v>
      </c>
      <c r="AQ316" s="5">
        <v>2.73920148528388</v>
      </c>
      <c r="AR316" s="5">
        <v>0</v>
      </c>
      <c r="AS316" s="5">
        <v>4.79453718407182</v>
      </c>
      <c r="AT316" s="5">
        <v>0</v>
      </c>
      <c r="AU316" s="5">
        <v>0</v>
      </c>
      <c r="AV316" s="5">
        <v>0</v>
      </c>
      <c r="AW316" s="5">
        <v>0</v>
      </c>
      <c r="AX316" s="5">
        <v>5.10652739484071</v>
      </c>
      <c r="AY316" s="5">
        <v>-7.69383775037793</v>
      </c>
      <c r="AZ316" s="5">
        <v>0.875</v>
      </c>
      <c r="BA316" s="5">
        <v>1</v>
      </c>
    </row>
    <row r="317" hidden="1" spans="1:53">
      <c r="A317" t="s">
        <v>53</v>
      </c>
      <c r="B317" t="s">
        <v>75</v>
      </c>
      <c r="C317" t="s">
        <v>55</v>
      </c>
      <c r="D317" s="4" t="s">
        <v>67</v>
      </c>
      <c r="E317">
        <v>0.0234300000000001</v>
      </c>
      <c r="F317">
        <v>6.7</v>
      </c>
      <c r="G317">
        <v>1</v>
      </c>
      <c r="H317">
        <v>17</v>
      </c>
      <c r="I317">
        <v>44</v>
      </c>
      <c r="J317">
        <v>36</v>
      </c>
      <c r="K317">
        <v>20</v>
      </c>
      <c r="L317" t="s">
        <v>57</v>
      </c>
      <c r="M317" t="s">
        <v>58</v>
      </c>
      <c r="N317" t="s">
        <v>87</v>
      </c>
      <c r="O317">
        <v>1.3658625982</v>
      </c>
      <c r="P317">
        <f t="shared" si="11"/>
        <v>58.2954587366622</v>
      </c>
      <c r="Q317">
        <f t="shared" si="10"/>
        <v>4.06552419558257</v>
      </c>
      <c r="R317">
        <v>150</v>
      </c>
      <c r="S317" t="s">
        <v>60</v>
      </c>
      <c r="T317" t="s">
        <v>61</v>
      </c>
      <c r="U317" t="s">
        <v>62</v>
      </c>
      <c r="V317">
        <v>1</v>
      </c>
      <c r="W317">
        <v>0</v>
      </c>
      <c r="X317">
        <v>1</v>
      </c>
      <c r="Y317">
        <v>1</v>
      </c>
      <c r="Z317">
        <v>0</v>
      </c>
      <c r="AA317">
        <v>0</v>
      </c>
      <c r="AB317">
        <v>1</v>
      </c>
      <c r="AC317">
        <v>0</v>
      </c>
      <c r="AD317">
        <v>1</v>
      </c>
      <c r="AE317" s="5">
        <v>13.0371419123205</v>
      </c>
      <c r="AF317" s="5">
        <v>7.66829457707096</v>
      </c>
      <c r="AG317" s="5">
        <v>0.402493807679921</v>
      </c>
      <c r="AH317" s="5">
        <v>16.8965517241379</v>
      </c>
      <c r="AI317" s="5">
        <v>0.459647294440031</v>
      </c>
      <c r="AJ317" s="5">
        <v>-0.280752999575314</v>
      </c>
      <c r="AK317" s="5">
        <v>0.459647294440031</v>
      </c>
      <c r="AL317" s="5">
        <v>0.280752999575314</v>
      </c>
      <c r="AM317" s="5">
        <v>9.90856544965598</v>
      </c>
      <c r="AN317" s="5">
        <v>-0.457885273814649</v>
      </c>
      <c r="AO317" s="5">
        <v>-1.28</v>
      </c>
      <c r="AP317" s="5">
        <v>176558.643253875</v>
      </c>
      <c r="AQ317" s="5">
        <v>3.26474212239717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4.55274987369036</v>
      </c>
      <c r="AY317" s="5">
        <v>-7.88274914441085</v>
      </c>
      <c r="AZ317" s="5">
        <v>1</v>
      </c>
      <c r="BA317" s="5">
        <v>1</v>
      </c>
    </row>
    <row r="318" hidden="1" spans="1:53">
      <c r="A318" t="s">
        <v>53</v>
      </c>
      <c r="B318" t="s">
        <v>75</v>
      </c>
      <c r="C318" t="s">
        <v>55</v>
      </c>
      <c r="D318" s="4" t="s">
        <v>68</v>
      </c>
      <c r="E318">
        <v>0.02431</v>
      </c>
      <c r="F318">
        <v>6.7</v>
      </c>
      <c r="G318">
        <v>1</v>
      </c>
      <c r="H318">
        <v>17</v>
      </c>
      <c r="I318">
        <v>44</v>
      </c>
      <c r="J318">
        <v>36</v>
      </c>
      <c r="K318">
        <v>20</v>
      </c>
      <c r="L318" t="s">
        <v>57</v>
      </c>
      <c r="M318" t="s">
        <v>58</v>
      </c>
      <c r="N318" t="s">
        <v>87</v>
      </c>
      <c r="O318">
        <v>0.7694754219</v>
      </c>
      <c r="P318">
        <f t="shared" si="11"/>
        <v>31.6526294487865</v>
      </c>
      <c r="Q318">
        <f t="shared" si="10"/>
        <v>3.45482122408992</v>
      </c>
      <c r="R318">
        <v>150</v>
      </c>
      <c r="S318" t="s">
        <v>60</v>
      </c>
      <c r="T318" t="s">
        <v>61</v>
      </c>
      <c r="U318" t="s">
        <v>62</v>
      </c>
      <c r="V318">
        <v>1</v>
      </c>
      <c r="W318">
        <v>0</v>
      </c>
      <c r="X318">
        <v>1</v>
      </c>
      <c r="Y318">
        <v>1</v>
      </c>
      <c r="Z318">
        <v>0</v>
      </c>
      <c r="AA318">
        <v>0</v>
      </c>
      <c r="AB318">
        <v>1</v>
      </c>
      <c r="AC318">
        <v>0</v>
      </c>
      <c r="AD318">
        <v>1</v>
      </c>
      <c r="AE318" s="5">
        <v>12.1252083333333</v>
      </c>
      <c r="AF318" s="5">
        <v>3.79034722222222</v>
      </c>
      <c r="AG318" s="5">
        <v>0.795108310685598</v>
      </c>
      <c r="AH318" s="5">
        <v>15.0625</v>
      </c>
      <c r="AI318" s="5">
        <v>0.459665733935349</v>
      </c>
      <c r="AJ318" s="5">
        <v>-0.476627440416371</v>
      </c>
      <c r="AK318" s="5">
        <v>0.476627440416371</v>
      </c>
      <c r="AL318" s="5">
        <v>0.459665733935349</v>
      </c>
      <c r="AM318" s="5">
        <v>10.044436145131</v>
      </c>
      <c r="AN318" s="5">
        <v>-0.389909625311938</v>
      </c>
      <c r="AO318" s="5">
        <v>-1.16</v>
      </c>
      <c r="AP318" s="5">
        <v>939.726830541714</v>
      </c>
      <c r="AQ318" s="5">
        <v>1.77550667912426</v>
      </c>
      <c r="AR318" s="5">
        <v>0</v>
      </c>
      <c r="AS318" s="5">
        <v>4.79453718407182</v>
      </c>
      <c r="AT318" s="5">
        <v>0</v>
      </c>
      <c r="AU318" s="5">
        <v>0</v>
      </c>
      <c r="AV318" s="5">
        <v>0</v>
      </c>
      <c r="AW318" s="5">
        <v>0</v>
      </c>
      <c r="AX318" s="5">
        <v>5.10652739484071</v>
      </c>
      <c r="AY318" s="5">
        <v>-7.00458333333333</v>
      </c>
      <c r="AZ318" s="5">
        <v>0.8</v>
      </c>
      <c r="BA318" s="5">
        <v>1</v>
      </c>
    </row>
    <row r="319" hidden="1" spans="1:53">
      <c r="A319" t="s">
        <v>53</v>
      </c>
      <c r="B319" t="s">
        <v>76</v>
      </c>
      <c r="C319" t="s">
        <v>55</v>
      </c>
      <c r="D319" s="4" t="s">
        <v>63</v>
      </c>
      <c r="E319">
        <v>0.210937</v>
      </c>
      <c r="F319">
        <v>6.7</v>
      </c>
      <c r="G319">
        <v>1</v>
      </c>
      <c r="H319">
        <v>17</v>
      </c>
      <c r="I319">
        <v>44</v>
      </c>
      <c r="J319">
        <v>36</v>
      </c>
      <c r="K319">
        <v>20</v>
      </c>
      <c r="L319" t="s">
        <v>57</v>
      </c>
      <c r="M319" t="s">
        <v>58</v>
      </c>
      <c r="N319" t="s">
        <v>87</v>
      </c>
      <c r="O319">
        <v>0.1773806112</v>
      </c>
      <c r="P319">
        <f t="shared" si="11"/>
        <v>0.84091748341922</v>
      </c>
      <c r="Q319">
        <f t="shared" si="10"/>
        <v>-0.173261741041524</v>
      </c>
      <c r="R319">
        <v>150</v>
      </c>
      <c r="S319" t="s">
        <v>60</v>
      </c>
      <c r="T319" t="s">
        <v>61</v>
      </c>
      <c r="U319" t="s">
        <v>62</v>
      </c>
      <c r="V319">
        <v>1</v>
      </c>
      <c r="W319">
        <v>0</v>
      </c>
      <c r="X319">
        <v>1</v>
      </c>
      <c r="Y319">
        <v>1</v>
      </c>
      <c r="Z319">
        <v>0</v>
      </c>
      <c r="AA319">
        <v>0</v>
      </c>
      <c r="AB319">
        <v>1</v>
      </c>
      <c r="AC319">
        <v>0</v>
      </c>
      <c r="AD319">
        <v>1</v>
      </c>
      <c r="AE319" s="5">
        <v>12.2120833333333</v>
      </c>
      <c r="AF319" s="5">
        <v>7.00097222222222</v>
      </c>
      <c r="AG319" s="5">
        <v>0.642528075697275</v>
      </c>
      <c r="AH319" s="5">
        <v>16.1176470588235</v>
      </c>
      <c r="AI319" s="5">
        <v>0.459694901747447</v>
      </c>
      <c r="AJ319" s="5">
        <v>-0.280752981483328</v>
      </c>
      <c r="AK319" s="5">
        <v>0.459694901747447</v>
      </c>
      <c r="AL319" s="5">
        <v>0.280752981483328</v>
      </c>
      <c r="AM319" s="5">
        <v>10.1452721658031</v>
      </c>
      <c r="AN319" s="5">
        <v>-0.382289160206052</v>
      </c>
      <c r="AO319" s="5">
        <v>-0.72</v>
      </c>
      <c r="AP319" s="5">
        <v>1212.20967645111</v>
      </c>
      <c r="AQ319" s="5">
        <v>2.16502218725737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4.55274987369036</v>
      </c>
      <c r="AY319" s="5">
        <v>-7.13430555555556</v>
      </c>
      <c r="AZ319" s="5">
        <v>1</v>
      </c>
      <c r="BA319" s="5">
        <v>1</v>
      </c>
    </row>
    <row r="320" hidden="1" spans="1:53">
      <c r="A320" t="s">
        <v>53</v>
      </c>
      <c r="B320" t="s">
        <v>76</v>
      </c>
      <c r="C320" t="s">
        <v>55</v>
      </c>
      <c r="D320" s="4" t="s">
        <v>64</v>
      </c>
      <c r="E320">
        <v>0.0234369999999999</v>
      </c>
      <c r="F320">
        <v>6.7</v>
      </c>
      <c r="G320">
        <v>1</v>
      </c>
      <c r="H320">
        <v>17</v>
      </c>
      <c r="I320">
        <v>44</v>
      </c>
      <c r="J320">
        <v>36</v>
      </c>
      <c r="K320">
        <v>20</v>
      </c>
      <c r="L320" t="s">
        <v>57</v>
      </c>
      <c r="M320" t="s">
        <v>58</v>
      </c>
      <c r="N320" t="s">
        <v>87</v>
      </c>
      <c r="O320">
        <v>0.2308652088</v>
      </c>
      <c r="P320">
        <f t="shared" si="11"/>
        <v>9.85045905192648</v>
      </c>
      <c r="Q320">
        <f t="shared" si="10"/>
        <v>2.28751805835455</v>
      </c>
      <c r="R320">
        <v>150</v>
      </c>
      <c r="S320" t="s">
        <v>60</v>
      </c>
      <c r="T320" t="s">
        <v>61</v>
      </c>
      <c r="U320" t="s">
        <v>62</v>
      </c>
      <c r="V320">
        <v>1</v>
      </c>
      <c r="W320">
        <v>0</v>
      </c>
      <c r="X320">
        <v>1</v>
      </c>
      <c r="Y320">
        <v>1</v>
      </c>
      <c r="Z320">
        <v>0</v>
      </c>
      <c r="AA320">
        <v>0</v>
      </c>
      <c r="AB320">
        <v>1</v>
      </c>
      <c r="AC320">
        <v>0</v>
      </c>
      <c r="AD320">
        <v>1</v>
      </c>
      <c r="AE320" s="5">
        <v>12.3952083333333</v>
      </c>
      <c r="AF320" s="5">
        <v>3.99060232426304</v>
      </c>
      <c r="AG320" s="5">
        <v>0.809418673219238</v>
      </c>
      <c r="AH320" s="5">
        <v>15.5263157894737</v>
      </c>
      <c r="AI320" s="5">
        <v>0.459647654411774</v>
      </c>
      <c r="AJ320" s="5">
        <v>-0.476627457257861</v>
      </c>
      <c r="AK320" s="5">
        <v>0.476627457257861</v>
      </c>
      <c r="AL320" s="5">
        <v>0.459647654411774</v>
      </c>
      <c r="AM320" s="5">
        <v>9.98060231888395</v>
      </c>
      <c r="AN320" s="5">
        <v>-0.417658943556199</v>
      </c>
      <c r="AO320" s="5">
        <v>-1.3</v>
      </c>
      <c r="AP320" s="5">
        <v>3314.44680161703</v>
      </c>
      <c r="AQ320" s="5">
        <v>2.17852386673025</v>
      </c>
      <c r="AR320" s="5">
        <v>0</v>
      </c>
      <c r="AS320" s="5">
        <v>4.79453718407182</v>
      </c>
      <c r="AT320" s="5">
        <v>0</v>
      </c>
      <c r="AU320" s="5">
        <v>0</v>
      </c>
      <c r="AV320" s="5">
        <v>0</v>
      </c>
      <c r="AW320" s="5">
        <v>0</v>
      </c>
      <c r="AX320" s="5">
        <v>5.10652739484071</v>
      </c>
      <c r="AY320" s="5">
        <v>-7.29710978835979</v>
      </c>
      <c r="AZ320" s="5">
        <v>0.833333333333333</v>
      </c>
      <c r="BA320" s="5">
        <v>1</v>
      </c>
    </row>
    <row r="321" hidden="1" spans="1:53">
      <c r="A321" t="s">
        <v>53</v>
      </c>
      <c r="B321" t="s">
        <v>76</v>
      </c>
      <c r="C321" t="s">
        <v>55</v>
      </c>
      <c r="D321" s="4" t="s">
        <v>65</v>
      </c>
      <c r="E321">
        <v>0.058594</v>
      </c>
      <c r="F321">
        <v>6.7</v>
      </c>
      <c r="G321">
        <v>1</v>
      </c>
      <c r="H321">
        <v>17</v>
      </c>
      <c r="I321">
        <v>44</v>
      </c>
      <c r="J321">
        <v>36</v>
      </c>
      <c r="K321">
        <v>20</v>
      </c>
      <c r="L321" t="s">
        <v>57</v>
      </c>
      <c r="M321" t="s">
        <v>58</v>
      </c>
      <c r="N321" t="s">
        <v>87</v>
      </c>
      <c r="O321">
        <v>0.19229703</v>
      </c>
      <c r="P321">
        <f t="shared" si="11"/>
        <v>3.28185530941735</v>
      </c>
      <c r="Q321">
        <f t="shared" si="10"/>
        <v>1.18840890559533</v>
      </c>
      <c r="R321">
        <v>150</v>
      </c>
      <c r="S321" t="s">
        <v>60</v>
      </c>
      <c r="T321" t="s">
        <v>61</v>
      </c>
      <c r="U321" t="s">
        <v>62</v>
      </c>
      <c r="V321">
        <v>1</v>
      </c>
      <c r="W321">
        <v>0</v>
      </c>
      <c r="X321">
        <v>1</v>
      </c>
      <c r="Y321">
        <v>1</v>
      </c>
      <c r="Z321">
        <v>0</v>
      </c>
      <c r="AA321">
        <v>0</v>
      </c>
      <c r="AB321">
        <v>1</v>
      </c>
      <c r="AC321">
        <v>0</v>
      </c>
      <c r="AD321">
        <v>1</v>
      </c>
      <c r="AE321" s="5">
        <v>12.6956944444444</v>
      </c>
      <c r="AF321" s="5">
        <v>7.51923752834467</v>
      </c>
      <c r="AG321" s="5">
        <v>0.567423483996869</v>
      </c>
      <c r="AH321" s="5">
        <v>16.6086956521739</v>
      </c>
      <c r="AI321" s="5">
        <v>0.459647303367286</v>
      </c>
      <c r="AJ321" s="5">
        <v>-0.280752999575136</v>
      </c>
      <c r="AK321" s="5">
        <v>0.459647303367286</v>
      </c>
      <c r="AL321" s="5">
        <v>0.280752999575136</v>
      </c>
      <c r="AM321" s="5">
        <v>9.97962409166519</v>
      </c>
      <c r="AN321" s="5">
        <v>-0.433260944725331</v>
      </c>
      <c r="AO321" s="5">
        <v>-1</v>
      </c>
      <c r="AP321" s="5">
        <v>14934.5346948423</v>
      </c>
      <c r="AQ321" s="5">
        <v>2.69882520469918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4.55274987369036</v>
      </c>
      <c r="AY321" s="5">
        <v>-7.5938637329932</v>
      </c>
      <c r="AZ321" s="5">
        <v>1</v>
      </c>
      <c r="BA321" s="5">
        <v>1</v>
      </c>
    </row>
    <row r="322" hidden="1" spans="1:53">
      <c r="A322" t="s">
        <v>53</v>
      </c>
      <c r="B322" t="s">
        <v>76</v>
      </c>
      <c r="C322" t="s">
        <v>55</v>
      </c>
      <c r="D322" s="4" t="s">
        <v>66</v>
      </c>
      <c r="E322">
        <v>1.031255</v>
      </c>
      <c r="F322">
        <v>6.7</v>
      </c>
      <c r="G322">
        <v>1</v>
      </c>
      <c r="H322">
        <v>17</v>
      </c>
      <c r="I322">
        <v>44</v>
      </c>
      <c r="J322">
        <v>36</v>
      </c>
      <c r="K322">
        <v>20</v>
      </c>
      <c r="L322" t="s">
        <v>57</v>
      </c>
      <c r="M322" t="s">
        <v>58</v>
      </c>
      <c r="N322" t="s">
        <v>87</v>
      </c>
      <c r="O322">
        <v>0.57712824</v>
      </c>
      <c r="P322">
        <f t="shared" si="11"/>
        <v>0.559636792064038</v>
      </c>
      <c r="Q322">
        <f t="shared" si="10"/>
        <v>-0.580467291275503</v>
      </c>
      <c r="R322">
        <v>150</v>
      </c>
      <c r="S322" t="s">
        <v>60</v>
      </c>
      <c r="T322" t="s">
        <v>61</v>
      </c>
      <c r="U322" t="s">
        <v>62</v>
      </c>
      <c r="V322">
        <v>1</v>
      </c>
      <c r="W322">
        <v>0</v>
      </c>
      <c r="X322">
        <v>1</v>
      </c>
      <c r="Y322">
        <v>1</v>
      </c>
      <c r="Z322">
        <v>0</v>
      </c>
      <c r="AA322">
        <v>0</v>
      </c>
      <c r="AB322">
        <v>1</v>
      </c>
      <c r="AC322">
        <v>0</v>
      </c>
      <c r="AD322">
        <v>1</v>
      </c>
      <c r="AE322" s="5">
        <v>12.8254166666667</v>
      </c>
      <c r="AF322" s="5">
        <v>4.27882137345679</v>
      </c>
      <c r="AG322" s="5">
        <v>0.653062667189842</v>
      </c>
      <c r="AH322" s="5">
        <v>16.12</v>
      </c>
      <c r="AI322" s="5">
        <v>0.459647294455008</v>
      </c>
      <c r="AJ322" s="5">
        <v>-0.47662745733429</v>
      </c>
      <c r="AK322" s="5">
        <v>0.47662745733429</v>
      </c>
      <c r="AL322" s="5">
        <v>0.459647294455008</v>
      </c>
      <c r="AM322" s="5">
        <v>9.90907137329749</v>
      </c>
      <c r="AN322" s="5">
        <v>-0.449718247791216</v>
      </c>
      <c r="AO322" s="5">
        <v>-1.58</v>
      </c>
      <c r="AP322" s="5">
        <v>39741.8973369129</v>
      </c>
      <c r="AQ322" s="5">
        <v>2.73920148528388</v>
      </c>
      <c r="AR322" s="5">
        <v>0</v>
      </c>
      <c r="AS322" s="5">
        <v>4.79453718407182</v>
      </c>
      <c r="AT322" s="5">
        <v>0</v>
      </c>
      <c r="AU322" s="5">
        <v>0</v>
      </c>
      <c r="AV322" s="5">
        <v>0</v>
      </c>
      <c r="AW322" s="5">
        <v>0</v>
      </c>
      <c r="AX322" s="5">
        <v>5.10652739484071</v>
      </c>
      <c r="AY322" s="5">
        <v>-7.69383775037793</v>
      </c>
      <c r="AZ322" s="5">
        <v>0.875</v>
      </c>
      <c r="BA322" s="5">
        <v>1</v>
      </c>
    </row>
    <row r="323" hidden="1" spans="1:53">
      <c r="A323" t="s">
        <v>53</v>
      </c>
      <c r="B323" t="s">
        <v>76</v>
      </c>
      <c r="C323" t="s">
        <v>55</v>
      </c>
      <c r="D323" s="4" t="s">
        <v>67</v>
      </c>
      <c r="E323">
        <v>0.0585899999999999</v>
      </c>
      <c r="F323">
        <v>6.7</v>
      </c>
      <c r="G323">
        <v>1</v>
      </c>
      <c r="H323">
        <v>17</v>
      </c>
      <c r="I323">
        <v>44</v>
      </c>
      <c r="J323">
        <v>36</v>
      </c>
      <c r="K323">
        <v>20</v>
      </c>
      <c r="L323" t="s">
        <v>57</v>
      </c>
      <c r="M323" t="s">
        <v>58</v>
      </c>
      <c r="N323" t="s">
        <v>87</v>
      </c>
      <c r="O323">
        <v>1.19242182</v>
      </c>
      <c r="P323">
        <f t="shared" si="11"/>
        <v>20.3519682539683</v>
      </c>
      <c r="Q323">
        <f t="shared" ref="Q323:Q358" si="12">LN(P323)</f>
        <v>3.01317762730824</v>
      </c>
      <c r="R323">
        <v>150</v>
      </c>
      <c r="S323" t="s">
        <v>60</v>
      </c>
      <c r="T323" t="s">
        <v>61</v>
      </c>
      <c r="U323" t="s">
        <v>62</v>
      </c>
      <c r="V323">
        <v>1</v>
      </c>
      <c r="W323">
        <v>0</v>
      </c>
      <c r="X323">
        <v>1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1</v>
      </c>
      <c r="AE323" s="5">
        <v>13.0371419123205</v>
      </c>
      <c r="AF323" s="5">
        <v>7.66829457707096</v>
      </c>
      <c r="AG323" s="5">
        <v>0.402493807679921</v>
      </c>
      <c r="AH323" s="5">
        <v>16.8965517241379</v>
      </c>
      <c r="AI323" s="5">
        <v>0.459647294440031</v>
      </c>
      <c r="AJ323" s="5">
        <v>-0.280752999575314</v>
      </c>
      <c r="AK323" s="5">
        <v>0.459647294440031</v>
      </c>
      <c r="AL323" s="5">
        <v>0.280752999575314</v>
      </c>
      <c r="AM323" s="5">
        <v>9.90856544965598</v>
      </c>
      <c r="AN323" s="5">
        <v>-0.457885273814649</v>
      </c>
      <c r="AO323" s="5">
        <v>-1.28</v>
      </c>
      <c r="AP323" s="5">
        <v>176558.643253875</v>
      </c>
      <c r="AQ323" s="5">
        <v>3.26474212239717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4.55274987369036</v>
      </c>
      <c r="AY323" s="5">
        <v>-7.88274914441085</v>
      </c>
      <c r="AZ323" s="5">
        <v>1</v>
      </c>
      <c r="BA323" s="5">
        <v>1</v>
      </c>
    </row>
    <row r="324" hidden="1" spans="1:53">
      <c r="A324" t="s">
        <v>53</v>
      </c>
      <c r="B324" t="s">
        <v>76</v>
      </c>
      <c r="C324" t="s">
        <v>55</v>
      </c>
      <c r="D324" s="4" t="s">
        <v>68</v>
      </c>
      <c r="E324">
        <v>0.0234400000000001</v>
      </c>
      <c r="F324">
        <v>6.7</v>
      </c>
      <c r="G324">
        <v>1</v>
      </c>
      <c r="H324">
        <v>17</v>
      </c>
      <c r="I324">
        <v>44</v>
      </c>
      <c r="J324">
        <v>36</v>
      </c>
      <c r="K324">
        <v>20</v>
      </c>
      <c r="L324" t="s">
        <v>57</v>
      </c>
      <c r="M324" t="s">
        <v>58</v>
      </c>
      <c r="N324" t="s">
        <v>87</v>
      </c>
      <c r="O324">
        <v>0.769320924</v>
      </c>
      <c r="P324">
        <f t="shared" si="11"/>
        <v>32.8208585324231</v>
      </c>
      <c r="Q324">
        <f t="shared" si="12"/>
        <v>3.49106424413831</v>
      </c>
      <c r="R324">
        <v>150</v>
      </c>
      <c r="S324" t="s">
        <v>60</v>
      </c>
      <c r="T324" t="s">
        <v>61</v>
      </c>
      <c r="U324" t="s">
        <v>62</v>
      </c>
      <c r="V324">
        <v>1</v>
      </c>
      <c r="W324">
        <v>0</v>
      </c>
      <c r="X324">
        <v>1</v>
      </c>
      <c r="Y324">
        <v>1</v>
      </c>
      <c r="Z324">
        <v>0</v>
      </c>
      <c r="AA324">
        <v>0</v>
      </c>
      <c r="AB324">
        <v>1</v>
      </c>
      <c r="AC324">
        <v>0</v>
      </c>
      <c r="AD324">
        <v>1</v>
      </c>
      <c r="AE324" s="5">
        <v>12.1252083333333</v>
      </c>
      <c r="AF324" s="5">
        <v>3.79034722222222</v>
      </c>
      <c r="AG324" s="5">
        <v>0.795108310685598</v>
      </c>
      <c r="AH324" s="5">
        <v>15.0625</v>
      </c>
      <c r="AI324" s="5">
        <v>0.459665733935349</v>
      </c>
      <c r="AJ324" s="5">
        <v>-0.476627440416371</v>
      </c>
      <c r="AK324" s="5">
        <v>0.476627440416371</v>
      </c>
      <c r="AL324" s="5">
        <v>0.459665733935349</v>
      </c>
      <c r="AM324" s="5">
        <v>10.044436145131</v>
      </c>
      <c r="AN324" s="5">
        <v>-0.389909625311938</v>
      </c>
      <c r="AO324" s="5">
        <v>-1.16</v>
      </c>
      <c r="AP324" s="5">
        <v>939.726830541714</v>
      </c>
      <c r="AQ324" s="5">
        <v>1.77550667912426</v>
      </c>
      <c r="AR324" s="5">
        <v>0</v>
      </c>
      <c r="AS324" s="5">
        <v>4.79453718407182</v>
      </c>
      <c r="AT324" s="5">
        <v>0</v>
      </c>
      <c r="AU324" s="5">
        <v>0</v>
      </c>
      <c r="AV324" s="5">
        <v>0</v>
      </c>
      <c r="AW324" s="5">
        <v>0</v>
      </c>
      <c r="AX324" s="5">
        <v>5.10652739484071</v>
      </c>
      <c r="AY324" s="5">
        <v>-7.00458333333333</v>
      </c>
      <c r="AZ324" s="5">
        <v>0.8</v>
      </c>
      <c r="BA324" s="5">
        <v>1</v>
      </c>
    </row>
    <row r="325" hidden="1" spans="1:53">
      <c r="A325" t="s">
        <v>53</v>
      </c>
      <c r="B325" t="s">
        <v>77</v>
      </c>
      <c r="C325" t="s">
        <v>55</v>
      </c>
      <c r="D325" s="4" t="s">
        <v>56</v>
      </c>
      <c r="E325">
        <v>0.703125</v>
      </c>
      <c r="F325">
        <v>6.7</v>
      </c>
      <c r="G325">
        <v>1</v>
      </c>
      <c r="H325">
        <v>17</v>
      </c>
      <c r="I325">
        <v>44</v>
      </c>
      <c r="J325">
        <v>36</v>
      </c>
      <c r="K325">
        <v>20</v>
      </c>
      <c r="L325" t="s">
        <v>57</v>
      </c>
      <c r="M325" t="s">
        <v>58</v>
      </c>
      <c r="N325" t="s">
        <v>87</v>
      </c>
      <c r="O325">
        <v>0.4563600264</v>
      </c>
      <c r="P325">
        <f t="shared" si="11"/>
        <v>0.64904537088</v>
      </c>
      <c r="Q325">
        <f t="shared" si="12"/>
        <v>-0.432252655815551</v>
      </c>
      <c r="R325">
        <v>150</v>
      </c>
      <c r="S325" t="s">
        <v>60</v>
      </c>
      <c r="T325" t="s">
        <v>61</v>
      </c>
      <c r="U325" t="s">
        <v>62</v>
      </c>
      <c r="V325">
        <v>1</v>
      </c>
      <c r="W325">
        <v>0</v>
      </c>
      <c r="X325">
        <v>1</v>
      </c>
      <c r="Y325">
        <v>1</v>
      </c>
      <c r="Z325">
        <v>0</v>
      </c>
      <c r="AA325">
        <v>0</v>
      </c>
      <c r="AB325">
        <v>1</v>
      </c>
      <c r="AC325">
        <v>0</v>
      </c>
      <c r="AD325">
        <v>1</v>
      </c>
      <c r="AE325" s="5">
        <v>11.7505787037037</v>
      </c>
      <c r="AF325" s="5">
        <v>3.53256944444444</v>
      </c>
      <c r="AG325" s="5">
        <v>0.712441776552488</v>
      </c>
      <c r="AH325" s="5">
        <v>14.3846153846154</v>
      </c>
      <c r="AI325" s="5">
        <v>0.460094687009651</v>
      </c>
      <c r="AJ325" s="5">
        <v>-0.476625664235965</v>
      </c>
      <c r="AK325" s="5">
        <v>0.476625664235965</v>
      </c>
      <c r="AL325" s="5">
        <v>0.460094687009651</v>
      </c>
      <c r="AM325" s="5">
        <v>10.1473915373546</v>
      </c>
      <c r="AN325" s="5">
        <v>-0.347050241178715</v>
      </c>
      <c r="AO325" s="5">
        <v>-1.02</v>
      </c>
      <c r="AP325" s="5">
        <v>260.658615872357</v>
      </c>
      <c r="AQ325" s="5">
        <v>1.67669845728037</v>
      </c>
      <c r="AR325" s="5">
        <v>0</v>
      </c>
      <c r="AS325" s="5">
        <v>4.79453718407182</v>
      </c>
      <c r="AT325" s="5">
        <v>0</v>
      </c>
      <c r="AU325" s="5">
        <v>0</v>
      </c>
      <c r="AV325" s="5">
        <v>0</v>
      </c>
      <c r="AW325" s="5">
        <v>0</v>
      </c>
      <c r="AX325" s="5">
        <v>5.10652739484071</v>
      </c>
      <c r="AY325" s="5">
        <v>-6.60229166666667</v>
      </c>
      <c r="AZ325" s="5">
        <v>0.75</v>
      </c>
      <c r="BA325" s="5">
        <v>1</v>
      </c>
    </row>
    <row r="326" hidden="1" spans="1:53">
      <c r="A326" t="s">
        <v>53</v>
      </c>
      <c r="B326" t="s">
        <v>77</v>
      </c>
      <c r="C326" t="s">
        <v>55</v>
      </c>
      <c r="D326" s="4" t="s">
        <v>63</v>
      </c>
      <c r="E326">
        <v>0.234375</v>
      </c>
      <c r="F326">
        <v>6.7</v>
      </c>
      <c r="G326">
        <v>1</v>
      </c>
      <c r="H326">
        <v>17</v>
      </c>
      <c r="I326">
        <v>44</v>
      </c>
      <c r="J326">
        <v>36</v>
      </c>
      <c r="K326">
        <v>20</v>
      </c>
      <c r="L326" t="s">
        <v>57</v>
      </c>
      <c r="M326" t="s">
        <v>58</v>
      </c>
      <c r="N326" t="s">
        <v>87</v>
      </c>
      <c r="O326">
        <v>0.3012467949</v>
      </c>
      <c r="P326">
        <f t="shared" si="11"/>
        <v>1.28531965824</v>
      </c>
      <c r="Q326">
        <f t="shared" si="12"/>
        <v>0.251007448687492</v>
      </c>
      <c r="R326">
        <v>150</v>
      </c>
      <c r="S326" t="s">
        <v>60</v>
      </c>
      <c r="T326" t="s">
        <v>61</v>
      </c>
      <c r="U326" t="s">
        <v>62</v>
      </c>
      <c r="V326">
        <v>1</v>
      </c>
      <c r="W326">
        <v>0</v>
      </c>
      <c r="X326">
        <v>1</v>
      </c>
      <c r="Y326">
        <v>1</v>
      </c>
      <c r="Z326">
        <v>0</v>
      </c>
      <c r="AA326">
        <v>0</v>
      </c>
      <c r="AB326">
        <v>1</v>
      </c>
      <c r="AC326">
        <v>0</v>
      </c>
      <c r="AD326">
        <v>1</v>
      </c>
      <c r="AE326" s="5">
        <v>12.2120833333333</v>
      </c>
      <c r="AF326" s="5">
        <v>7.00097222222222</v>
      </c>
      <c r="AG326" s="5">
        <v>0.642528075697275</v>
      </c>
      <c r="AH326" s="5">
        <v>16.1176470588235</v>
      </c>
      <c r="AI326" s="5">
        <v>0.459694901747447</v>
      </c>
      <c r="AJ326" s="5">
        <v>-0.280752981483328</v>
      </c>
      <c r="AK326" s="5">
        <v>0.459694901747447</v>
      </c>
      <c r="AL326" s="5">
        <v>0.280752981483328</v>
      </c>
      <c r="AM326" s="5">
        <v>10.1452721658031</v>
      </c>
      <c r="AN326" s="5">
        <v>-0.382289160206052</v>
      </c>
      <c r="AO326" s="5">
        <v>-0.72</v>
      </c>
      <c r="AP326" s="5">
        <v>1212.20967645111</v>
      </c>
      <c r="AQ326" s="5">
        <v>2.16502218725737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4.55274987369036</v>
      </c>
      <c r="AY326" s="5">
        <v>-7.13430555555556</v>
      </c>
      <c r="AZ326" s="5">
        <v>1</v>
      </c>
      <c r="BA326" s="5">
        <v>1</v>
      </c>
    </row>
    <row r="327" hidden="1" spans="1:53">
      <c r="A327" t="s">
        <v>53</v>
      </c>
      <c r="B327" t="s">
        <v>77</v>
      </c>
      <c r="C327" t="s">
        <v>55</v>
      </c>
      <c r="D327" s="4" t="s">
        <v>65</v>
      </c>
      <c r="E327">
        <v>0.11719</v>
      </c>
      <c r="F327">
        <v>6.7</v>
      </c>
      <c r="G327">
        <v>1</v>
      </c>
      <c r="H327">
        <v>17</v>
      </c>
      <c r="I327">
        <v>44</v>
      </c>
      <c r="J327">
        <v>36</v>
      </c>
      <c r="K327">
        <v>20</v>
      </c>
      <c r="L327" t="s">
        <v>57</v>
      </c>
      <c r="M327" t="s">
        <v>58</v>
      </c>
      <c r="N327" t="s">
        <v>87</v>
      </c>
      <c r="O327">
        <v>0.2114848683</v>
      </c>
      <c r="P327">
        <f t="shared" si="11"/>
        <v>1.80463237733595</v>
      </c>
      <c r="Q327">
        <f t="shared" si="12"/>
        <v>0.590356901975528</v>
      </c>
      <c r="R327">
        <v>150</v>
      </c>
      <c r="S327" t="s">
        <v>60</v>
      </c>
      <c r="T327" t="s">
        <v>61</v>
      </c>
      <c r="U327" t="s">
        <v>62</v>
      </c>
      <c r="V327">
        <v>1</v>
      </c>
      <c r="W327">
        <v>0</v>
      </c>
      <c r="X327">
        <v>1</v>
      </c>
      <c r="Y327">
        <v>1</v>
      </c>
      <c r="Z327">
        <v>0</v>
      </c>
      <c r="AA327">
        <v>0</v>
      </c>
      <c r="AB327">
        <v>1</v>
      </c>
      <c r="AC327">
        <v>0</v>
      </c>
      <c r="AD327">
        <v>1</v>
      </c>
      <c r="AE327" s="5">
        <v>12.6956944444444</v>
      </c>
      <c r="AF327" s="5">
        <v>7.51923752834467</v>
      </c>
      <c r="AG327" s="5">
        <v>0.567423483996869</v>
      </c>
      <c r="AH327" s="5">
        <v>16.6086956521739</v>
      </c>
      <c r="AI327" s="5">
        <v>0.459647303367286</v>
      </c>
      <c r="AJ327" s="5">
        <v>-0.280752999575136</v>
      </c>
      <c r="AK327" s="5">
        <v>0.459647303367286</v>
      </c>
      <c r="AL327" s="5">
        <v>0.280752999575136</v>
      </c>
      <c r="AM327" s="5">
        <v>9.97962409166519</v>
      </c>
      <c r="AN327" s="5">
        <v>-0.433260944725331</v>
      </c>
      <c r="AO327" s="5">
        <v>-1</v>
      </c>
      <c r="AP327" s="5">
        <v>14934.5346948423</v>
      </c>
      <c r="AQ327" s="5">
        <v>2.69882520469918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4.55274987369036</v>
      </c>
      <c r="AY327" s="5">
        <v>-7.5938637329932</v>
      </c>
      <c r="AZ327" s="5">
        <v>1</v>
      </c>
      <c r="BA327" s="5">
        <v>1</v>
      </c>
    </row>
    <row r="328" hidden="1" spans="1:53">
      <c r="A328" t="s">
        <v>53</v>
      </c>
      <c r="B328" t="s">
        <v>77</v>
      </c>
      <c r="C328" t="s">
        <v>55</v>
      </c>
      <c r="D328" s="4" t="s">
        <v>66</v>
      </c>
      <c r="E328">
        <v>1.2539</v>
      </c>
      <c r="F328">
        <v>6.7</v>
      </c>
      <c r="G328">
        <v>1</v>
      </c>
      <c r="H328">
        <v>17</v>
      </c>
      <c r="I328">
        <v>44</v>
      </c>
      <c r="J328">
        <v>36</v>
      </c>
      <c r="K328">
        <v>20</v>
      </c>
      <c r="L328" t="s">
        <v>57</v>
      </c>
      <c r="M328" t="s">
        <v>58</v>
      </c>
      <c r="N328" t="s">
        <v>87</v>
      </c>
      <c r="O328">
        <v>0.8614616571</v>
      </c>
      <c r="P328">
        <f t="shared" si="11"/>
        <v>0.687025805167876</v>
      </c>
      <c r="Q328">
        <f t="shared" si="12"/>
        <v>-0.375383425357691</v>
      </c>
      <c r="R328">
        <v>150</v>
      </c>
      <c r="S328" t="s">
        <v>60</v>
      </c>
      <c r="T328" t="s">
        <v>61</v>
      </c>
      <c r="U328" t="s">
        <v>62</v>
      </c>
      <c r="V328">
        <v>1</v>
      </c>
      <c r="W328">
        <v>0</v>
      </c>
      <c r="X328">
        <v>1</v>
      </c>
      <c r="Y328">
        <v>1</v>
      </c>
      <c r="Z328">
        <v>0</v>
      </c>
      <c r="AA328">
        <v>0</v>
      </c>
      <c r="AB328">
        <v>1</v>
      </c>
      <c r="AC328">
        <v>0</v>
      </c>
      <c r="AD328">
        <v>1</v>
      </c>
      <c r="AE328" s="5">
        <v>12.8254166666667</v>
      </c>
      <c r="AF328" s="5">
        <v>4.27882137345679</v>
      </c>
      <c r="AG328" s="5">
        <v>0.653062667189842</v>
      </c>
      <c r="AH328" s="5">
        <v>16.12</v>
      </c>
      <c r="AI328" s="5">
        <v>0.459647294455008</v>
      </c>
      <c r="AJ328" s="5">
        <v>-0.47662745733429</v>
      </c>
      <c r="AK328" s="5">
        <v>0.47662745733429</v>
      </c>
      <c r="AL328" s="5">
        <v>0.459647294455008</v>
      </c>
      <c r="AM328" s="5">
        <v>9.90907137329749</v>
      </c>
      <c r="AN328" s="5">
        <v>-0.449718247791216</v>
      </c>
      <c r="AO328" s="5">
        <v>-1.58</v>
      </c>
      <c r="AP328" s="5">
        <v>39741.8973369129</v>
      </c>
      <c r="AQ328" s="5">
        <v>2.73920148528388</v>
      </c>
      <c r="AR328" s="5">
        <v>0</v>
      </c>
      <c r="AS328" s="5">
        <v>4.79453718407182</v>
      </c>
      <c r="AT328" s="5">
        <v>0</v>
      </c>
      <c r="AU328" s="5">
        <v>0</v>
      </c>
      <c r="AV328" s="5">
        <v>0</v>
      </c>
      <c r="AW328" s="5">
        <v>0</v>
      </c>
      <c r="AX328" s="5">
        <v>5.10652739484071</v>
      </c>
      <c r="AY328" s="5">
        <v>-7.69383775037793</v>
      </c>
      <c r="AZ328" s="5">
        <v>0.875</v>
      </c>
      <c r="BA328" s="5">
        <v>1</v>
      </c>
    </row>
    <row r="329" hidden="1" spans="1:53">
      <c r="A329" t="s">
        <v>53</v>
      </c>
      <c r="B329" t="s">
        <v>77</v>
      </c>
      <c r="C329" t="s">
        <v>55</v>
      </c>
      <c r="D329" s="4" t="s">
        <v>67</v>
      </c>
      <c r="E329">
        <v>0.0585999999999998</v>
      </c>
      <c r="F329">
        <v>6.7</v>
      </c>
      <c r="G329">
        <v>1</v>
      </c>
      <c r="H329">
        <v>17</v>
      </c>
      <c r="I329">
        <v>44</v>
      </c>
      <c r="J329">
        <v>36</v>
      </c>
      <c r="K329">
        <v>20</v>
      </c>
      <c r="L329" t="s">
        <v>57</v>
      </c>
      <c r="M329" t="s">
        <v>58</v>
      </c>
      <c r="N329" t="s">
        <v>87</v>
      </c>
      <c r="O329">
        <v>1.331832051</v>
      </c>
      <c r="P329">
        <f t="shared" si="11"/>
        <v>22.7275094027305</v>
      </c>
      <c r="Q329">
        <f t="shared" si="12"/>
        <v>3.12357605872979</v>
      </c>
      <c r="R329">
        <v>150</v>
      </c>
      <c r="S329" t="s">
        <v>60</v>
      </c>
      <c r="T329" t="s">
        <v>61</v>
      </c>
      <c r="U329" t="s">
        <v>62</v>
      </c>
      <c r="V329">
        <v>1</v>
      </c>
      <c r="W329">
        <v>0</v>
      </c>
      <c r="X329">
        <v>1</v>
      </c>
      <c r="Y329">
        <v>1</v>
      </c>
      <c r="Z329">
        <v>0</v>
      </c>
      <c r="AA329">
        <v>0</v>
      </c>
      <c r="AB329">
        <v>1</v>
      </c>
      <c r="AC329">
        <v>0</v>
      </c>
      <c r="AD329">
        <v>1</v>
      </c>
      <c r="AE329" s="5">
        <v>13.0371419123205</v>
      </c>
      <c r="AF329" s="5">
        <v>7.66829457707096</v>
      </c>
      <c r="AG329" s="5">
        <v>0.402493807679921</v>
      </c>
      <c r="AH329" s="5">
        <v>16.8965517241379</v>
      </c>
      <c r="AI329" s="5">
        <v>0.459647294440031</v>
      </c>
      <c r="AJ329" s="5">
        <v>-0.280752999575314</v>
      </c>
      <c r="AK329" s="5">
        <v>0.459647294440031</v>
      </c>
      <c r="AL329" s="5">
        <v>0.280752999575314</v>
      </c>
      <c r="AM329" s="5">
        <v>9.90856544965598</v>
      </c>
      <c r="AN329" s="5">
        <v>-0.457885273814649</v>
      </c>
      <c r="AO329" s="5">
        <v>-1.28</v>
      </c>
      <c r="AP329" s="5">
        <v>176558.643253875</v>
      </c>
      <c r="AQ329" s="5">
        <v>3.26474212239717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4.55274987369036</v>
      </c>
      <c r="AY329" s="5">
        <v>-7.88274914441085</v>
      </c>
      <c r="AZ329" s="5">
        <v>1</v>
      </c>
      <c r="BA329" s="5">
        <v>1</v>
      </c>
    </row>
    <row r="330" hidden="1" spans="1:53">
      <c r="A330" t="s">
        <v>53</v>
      </c>
      <c r="B330" t="s">
        <v>78</v>
      </c>
      <c r="C330" t="s">
        <v>55</v>
      </c>
      <c r="D330" s="4" t="s">
        <v>63</v>
      </c>
      <c r="E330">
        <v>0.175781</v>
      </c>
      <c r="F330">
        <v>6.7</v>
      </c>
      <c r="G330">
        <v>1</v>
      </c>
      <c r="H330">
        <v>17</v>
      </c>
      <c r="I330">
        <v>44</v>
      </c>
      <c r="J330">
        <v>36</v>
      </c>
      <c r="K330">
        <v>20</v>
      </c>
      <c r="L330" t="s">
        <v>57</v>
      </c>
      <c r="M330" t="s">
        <v>58</v>
      </c>
      <c r="N330" t="s">
        <v>87</v>
      </c>
      <c r="O330">
        <v>0.29353746688</v>
      </c>
      <c r="P330">
        <f t="shared" si="11"/>
        <v>1.66990440878138</v>
      </c>
      <c r="Q330">
        <f t="shared" si="12"/>
        <v>0.512766384539708</v>
      </c>
      <c r="R330">
        <v>150</v>
      </c>
      <c r="S330" t="s">
        <v>60</v>
      </c>
      <c r="T330" t="s">
        <v>61</v>
      </c>
      <c r="U330" t="s">
        <v>62</v>
      </c>
      <c r="V330">
        <v>1</v>
      </c>
      <c r="W330">
        <v>0</v>
      </c>
      <c r="X330">
        <v>1</v>
      </c>
      <c r="Y330">
        <v>1</v>
      </c>
      <c r="Z330">
        <v>0</v>
      </c>
      <c r="AA330">
        <v>0</v>
      </c>
      <c r="AB330">
        <v>1</v>
      </c>
      <c r="AC330">
        <v>0</v>
      </c>
      <c r="AD330">
        <v>1</v>
      </c>
      <c r="AE330" s="5">
        <v>12.2120833333333</v>
      </c>
      <c r="AF330" s="5">
        <v>7.00097222222222</v>
      </c>
      <c r="AG330" s="5">
        <v>0.642528075697275</v>
      </c>
      <c r="AH330" s="5">
        <v>16.1176470588235</v>
      </c>
      <c r="AI330" s="5">
        <v>0.459694901747447</v>
      </c>
      <c r="AJ330" s="5">
        <v>-0.280752981483328</v>
      </c>
      <c r="AK330" s="5">
        <v>0.459694901747447</v>
      </c>
      <c r="AL330" s="5">
        <v>0.280752981483328</v>
      </c>
      <c r="AM330" s="5">
        <v>10.1452721658031</v>
      </c>
      <c r="AN330" s="5">
        <v>-0.382289160206052</v>
      </c>
      <c r="AO330" s="5">
        <v>-0.72</v>
      </c>
      <c r="AP330" s="5">
        <v>1212.20967645111</v>
      </c>
      <c r="AQ330" s="5">
        <v>2.16502218725737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4.55274987369036</v>
      </c>
      <c r="AY330" s="5">
        <v>-7.13430555555556</v>
      </c>
      <c r="AZ330" s="5">
        <v>1</v>
      </c>
      <c r="BA330" s="5">
        <v>1</v>
      </c>
    </row>
    <row r="331" hidden="1" spans="1:53">
      <c r="A331" t="s">
        <v>53</v>
      </c>
      <c r="B331" t="s">
        <v>78</v>
      </c>
      <c r="C331" t="s">
        <v>55</v>
      </c>
      <c r="D331" s="4" t="s">
        <v>65</v>
      </c>
      <c r="E331">
        <v>0.023437</v>
      </c>
      <c r="F331">
        <v>6.7</v>
      </c>
      <c r="G331">
        <v>1</v>
      </c>
      <c r="H331">
        <v>17</v>
      </c>
      <c r="I331">
        <v>44</v>
      </c>
      <c r="J331">
        <v>36</v>
      </c>
      <c r="K331">
        <v>20</v>
      </c>
      <c r="L331" t="s">
        <v>57</v>
      </c>
      <c r="M331" t="s">
        <v>58</v>
      </c>
      <c r="N331" t="s">
        <v>87</v>
      </c>
      <c r="O331">
        <v>0.2308202688</v>
      </c>
      <c r="P331">
        <f t="shared" si="11"/>
        <v>9.84854157102018</v>
      </c>
      <c r="Q331">
        <f t="shared" si="12"/>
        <v>2.28732338036564</v>
      </c>
      <c r="R331">
        <v>150</v>
      </c>
      <c r="S331" t="s">
        <v>60</v>
      </c>
      <c r="T331" t="s">
        <v>61</v>
      </c>
      <c r="U331" t="s">
        <v>62</v>
      </c>
      <c r="V331">
        <v>1</v>
      </c>
      <c r="W331">
        <v>0</v>
      </c>
      <c r="X331">
        <v>1</v>
      </c>
      <c r="Y331">
        <v>1</v>
      </c>
      <c r="Z331">
        <v>0</v>
      </c>
      <c r="AA331">
        <v>0</v>
      </c>
      <c r="AB331">
        <v>1</v>
      </c>
      <c r="AC331">
        <v>0</v>
      </c>
      <c r="AD331">
        <v>1</v>
      </c>
      <c r="AE331" s="5">
        <v>12.6956944444444</v>
      </c>
      <c r="AF331" s="5">
        <v>7.51923752834467</v>
      </c>
      <c r="AG331" s="5">
        <v>0.567423483996869</v>
      </c>
      <c r="AH331" s="5">
        <v>16.6086956521739</v>
      </c>
      <c r="AI331" s="5">
        <v>0.459647303367286</v>
      </c>
      <c r="AJ331" s="5">
        <v>-0.280752999575136</v>
      </c>
      <c r="AK331" s="5">
        <v>0.459647303367286</v>
      </c>
      <c r="AL331" s="5">
        <v>0.280752999575136</v>
      </c>
      <c r="AM331" s="5">
        <v>9.97962409166519</v>
      </c>
      <c r="AN331" s="5">
        <v>-0.433260944725331</v>
      </c>
      <c r="AO331" s="5">
        <v>-1</v>
      </c>
      <c r="AP331" s="5">
        <v>14934.5346948423</v>
      </c>
      <c r="AQ331" s="5">
        <v>2.69882520469918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4.55274987369036</v>
      </c>
      <c r="AY331" s="5">
        <v>-7.5938637329932</v>
      </c>
      <c r="AZ331" s="5">
        <v>1</v>
      </c>
      <c r="BA331" s="5">
        <v>1</v>
      </c>
    </row>
    <row r="332" hidden="1" spans="1:53">
      <c r="A332" t="s">
        <v>53</v>
      </c>
      <c r="B332" t="s">
        <v>78</v>
      </c>
      <c r="C332" t="s">
        <v>55</v>
      </c>
      <c r="D332" s="4" t="s">
        <v>66</v>
      </c>
      <c r="E332">
        <v>0.152344</v>
      </c>
      <c r="F332">
        <v>6.7</v>
      </c>
      <c r="G332">
        <v>1</v>
      </c>
      <c r="H332">
        <v>17</v>
      </c>
      <c r="I332">
        <v>44</v>
      </c>
      <c r="J332">
        <v>36</v>
      </c>
      <c r="K332">
        <v>20</v>
      </c>
      <c r="L332" t="s">
        <v>57</v>
      </c>
      <c r="M332" t="s">
        <v>58</v>
      </c>
      <c r="N332" t="s">
        <v>87</v>
      </c>
      <c r="O332">
        <v>0.7617687488</v>
      </c>
      <c r="P332">
        <f t="shared" si="11"/>
        <v>5.00031999159796</v>
      </c>
      <c r="Q332">
        <f t="shared" si="12"/>
        <v>1.60950190870589</v>
      </c>
      <c r="R332">
        <v>150</v>
      </c>
      <c r="S332" t="s">
        <v>60</v>
      </c>
      <c r="T332" t="s">
        <v>61</v>
      </c>
      <c r="U332" t="s">
        <v>62</v>
      </c>
      <c r="V332">
        <v>1</v>
      </c>
      <c r="W332">
        <v>0</v>
      </c>
      <c r="X332">
        <v>1</v>
      </c>
      <c r="Y332">
        <v>1</v>
      </c>
      <c r="Z332">
        <v>0</v>
      </c>
      <c r="AA332">
        <v>0</v>
      </c>
      <c r="AB332">
        <v>1</v>
      </c>
      <c r="AC332">
        <v>0</v>
      </c>
      <c r="AD332">
        <v>1</v>
      </c>
      <c r="AE332" s="5">
        <v>12.8254166666667</v>
      </c>
      <c r="AF332" s="5">
        <v>4.27882137345679</v>
      </c>
      <c r="AG332" s="5">
        <v>0.653062667189842</v>
      </c>
      <c r="AH332" s="5">
        <v>16.12</v>
      </c>
      <c r="AI332" s="5">
        <v>0.459647294455008</v>
      </c>
      <c r="AJ332" s="5">
        <v>-0.47662745733429</v>
      </c>
      <c r="AK332" s="5">
        <v>0.47662745733429</v>
      </c>
      <c r="AL332" s="5">
        <v>0.459647294455008</v>
      </c>
      <c r="AM332" s="5">
        <v>9.90907137329749</v>
      </c>
      <c r="AN332" s="5">
        <v>-0.449718247791216</v>
      </c>
      <c r="AO332" s="5">
        <v>-1.58</v>
      </c>
      <c r="AP332" s="5">
        <v>39741.8973369129</v>
      </c>
      <c r="AQ332" s="5">
        <v>2.73920148528388</v>
      </c>
      <c r="AR332" s="5">
        <v>0</v>
      </c>
      <c r="AS332" s="5">
        <v>4.79453718407182</v>
      </c>
      <c r="AT332" s="5">
        <v>0</v>
      </c>
      <c r="AU332" s="5">
        <v>0</v>
      </c>
      <c r="AV332" s="5">
        <v>0</v>
      </c>
      <c r="AW332" s="5">
        <v>0</v>
      </c>
      <c r="AX332" s="5">
        <v>5.10652739484071</v>
      </c>
      <c r="AY332" s="5">
        <v>-7.69383775037793</v>
      </c>
      <c r="AZ332" s="5">
        <v>0.875</v>
      </c>
      <c r="BA332" s="5">
        <v>1</v>
      </c>
    </row>
    <row r="333" hidden="1" spans="1:53">
      <c r="A333" t="s">
        <v>53</v>
      </c>
      <c r="B333" t="s">
        <v>78</v>
      </c>
      <c r="C333" t="s">
        <v>55</v>
      </c>
      <c r="D333" s="4" t="s">
        <v>67</v>
      </c>
      <c r="E333">
        <v>0.0234369999999999</v>
      </c>
      <c r="F333">
        <v>6.7</v>
      </c>
      <c r="G333">
        <v>1</v>
      </c>
      <c r="H333">
        <v>17</v>
      </c>
      <c r="I333">
        <v>44</v>
      </c>
      <c r="J333">
        <v>36</v>
      </c>
      <c r="K333">
        <v>20</v>
      </c>
      <c r="L333" t="s">
        <v>57</v>
      </c>
      <c r="M333" t="s">
        <v>58</v>
      </c>
      <c r="N333" t="s">
        <v>87</v>
      </c>
      <c r="O333">
        <v>1.3851075776</v>
      </c>
      <c r="P333">
        <f t="shared" ref="P333:P358" si="13">O333/E333</f>
        <v>59.0991840935276</v>
      </c>
      <c r="Q333">
        <f t="shared" si="12"/>
        <v>4.07921711879269</v>
      </c>
      <c r="R333">
        <v>150</v>
      </c>
      <c r="S333" t="s">
        <v>60</v>
      </c>
      <c r="T333" t="s">
        <v>61</v>
      </c>
      <c r="U333" t="s">
        <v>62</v>
      </c>
      <c r="V333">
        <v>1</v>
      </c>
      <c r="W333">
        <v>0</v>
      </c>
      <c r="X333">
        <v>1</v>
      </c>
      <c r="Y333">
        <v>1</v>
      </c>
      <c r="Z333">
        <v>0</v>
      </c>
      <c r="AA333">
        <v>0</v>
      </c>
      <c r="AB333">
        <v>1</v>
      </c>
      <c r="AC333">
        <v>0</v>
      </c>
      <c r="AD333">
        <v>1</v>
      </c>
      <c r="AE333" s="5">
        <v>13.0371419123205</v>
      </c>
      <c r="AF333" s="5">
        <v>7.66829457707096</v>
      </c>
      <c r="AG333" s="5">
        <v>0.402493807679921</v>
      </c>
      <c r="AH333" s="5">
        <v>16.8965517241379</v>
      </c>
      <c r="AI333" s="5">
        <v>0.459647294440031</v>
      </c>
      <c r="AJ333" s="5">
        <v>-0.280752999575314</v>
      </c>
      <c r="AK333" s="5">
        <v>0.459647294440031</v>
      </c>
      <c r="AL333" s="5">
        <v>0.280752999575314</v>
      </c>
      <c r="AM333" s="5">
        <v>9.90856544965598</v>
      </c>
      <c r="AN333" s="5">
        <v>-0.457885273814649</v>
      </c>
      <c r="AO333" s="5">
        <v>-1.28</v>
      </c>
      <c r="AP333" s="5">
        <v>176558.643253875</v>
      </c>
      <c r="AQ333" s="5">
        <v>3.26474212239717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4.55274987369036</v>
      </c>
      <c r="AY333" s="5">
        <v>-7.88274914441085</v>
      </c>
      <c r="AZ333" s="5">
        <v>1</v>
      </c>
      <c r="BA333" s="5">
        <v>1</v>
      </c>
    </row>
    <row r="334" hidden="1" spans="1:53">
      <c r="A334" t="s">
        <v>53</v>
      </c>
      <c r="B334" t="s">
        <v>79</v>
      </c>
      <c r="C334" t="s">
        <v>55</v>
      </c>
      <c r="D334" s="4" t="s">
        <v>56</v>
      </c>
      <c r="E334">
        <v>0.234375</v>
      </c>
      <c r="F334">
        <v>6.7</v>
      </c>
      <c r="G334">
        <v>1</v>
      </c>
      <c r="H334">
        <v>17</v>
      </c>
      <c r="I334">
        <v>44</v>
      </c>
      <c r="J334">
        <v>36</v>
      </c>
      <c r="K334">
        <v>20</v>
      </c>
      <c r="L334" t="s">
        <v>57</v>
      </c>
      <c r="M334" t="s">
        <v>58</v>
      </c>
      <c r="N334" t="s">
        <v>87</v>
      </c>
      <c r="O334">
        <v>0.5735744042</v>
      </c>
      <c r="P334">
        <f t="shared" si="13"/>
        <v>2.44725079125333</v>
      </c>
      <c r="Q334">
        <f t="shared" si="12"/>
        <v>0.894965268482809</v>
      </c>
      <c r="R334">
        <v>150</v>
      </c>
      <c r="S334" t="s">
        <v>60</v>
      </c>
      <c r="T334" t="s">
        <v>61</v>
      </c>
      <c r="U334" t="s">
        <v>62</v>
      </c>
      <c r="V334">
        <v>1</v>
      </c>
      <c r="W334">
        <v>0</v>
      </c>
      <c r="X334">
        <v>1</v>
      </c>
      <c r="Y334">
        <v>1</v>
      </c>
      <c r="Z334">
        <v>0</v>
      </c>
      <c r="AA334">
        <v>0</v>
      </c>
      <c r="AB334">
        <v>1</v>
      </c>
      <c r="AC334">
        <v>0</v>
      </c>
      <c r="AD334">
        <v>1</v>
      </c>
      <c r="AE334" s="5">
        <v>11.7505787037037</v>
      </c>
      <c r="AF334" s="5">
        <v>3.53256944444444</v>
      </c>
      <c r="AG334" s="5">
        <v>0.712441776552488</v>
      </c>
      <c r="AH334" s="5">
        <v>14.3846153846154</v>
      </c>
      <c r="AI334" s="5">
        <v>0.460094687009651</v>
      </c>
      <c r="AJ334" s="5">
        <v>-0.476625664235965</v>
      </c>
      <c r="AK334" s="5">
        <v>0.476625664235965</v>
      </c>
      <c r="AL334" s="5">
        <v>0.460094687009651</v>
      </c>
      <c r="AM334" s="5">
        <v>10.1473915373546</v>
      </c>
      <c r="AN334" s="5">
        <v>-0.347050241178715</v>
      </c>
      <c r="AO334" s="5">
        <v>-1.02</v>
      </c>
      <c r="AP334" s="5">
        <v>260.658615872357</v>
      </c>
      <c r="AQ334" s="5">
        <v>1.67669845728037</v>
      </c>
      <c r="AR334" s="5">
        <v>0</v>
      </c>
      <c r="AS334" s="5">
        <v>4.79453718407182</v>
      </c>
      <c r="AT334" s="5">
        <v>0</v>
      </c>
      <c r="AU334" s="5">
        <v>0</v>
      </c>
      <c r="AV334" s="5">
        <v>0</v>
      </c>
      <c r="AW334" s="5">
        <v>0</v>
      </c>
      <c r="AX334" s="5">
        <v>5.10652739484071</v>
      </c>
      <c r="AY334" s="5">
        <v>-6.60229166666667</v>
      </c>
      <c r="AZ334" s="5">
        <v>0.75</v>
      </c>
      <c r="BA334" s="5">
        <v>1</v>
      </c>
    </row>
    <row r="335" hidden="1" spans="1:53">
      <c r="A335" t="s">
        <v>53</v>
      </c>
      <c r="B335" t="s">
        <v>79</v>
      </c>
      <c r="C335" t="s">
        <v>55</v>
      </c>
      <c r="D335" s="4" t="s">
        <v>63</v>
      </c>
      <c r="E335">
        <v>0.058594</v>
      </c>
      <c r="F335">
        <v>6.7</v>
      </c>
      <c r="G335">
        <v>1</v>
      </c>
      <c r="H335">
        <v>17</v>
      </c>
      <c r="I335">
        <v>44</v>
      </c>
      <c r="J335">
        <v>36</v>
      </c>
      <c r="K335">
        <v>20</v>
      </c>
      <c r="L335" t="s">
        <v>57</v>
      </c>
      <c r="M335" t="s">
        <v>58</v>
      </c>
      <c r="N335" t="s">
        <v>87</v>
      </c>
      <c r="O335">
        <v>0.2925550436</v>
      </c>
      <c r="P335">
        <f t="shared" si="13"/>
        <v>4.99291810765607</v>
      </c>
      <c r="Q335">
        <f t="shared" si="12"/>
        <v>1.60802052995318</v>
      </c>
      <c r="R335">
        <v>150</v>
      </c>
      <c r="S335" t="s">
        <v>60</v>
      </c>
      <c r="T335" t="s">
        <v>61</v>
      </c>
      <c r="U335" t="s">
        <v>62</v>
      </c>
      <c r="V335">
        <v>1</v>
      </c>
      <c r="W335">
        <v>0</v>
      </c>
      <c r="X335">
        <v>1</v>
      </c>
      <c r="Y335">
        <v>1</v>
      </c>
      <c r="Z335">
        <v>0</v>
      </c>
      <c r="AA335">
        <v>0</v>
      </c>
      <c r="AB335">
        <v>1</v>
      </c>
      <c r="AC335">
        <v>0</v>
      </c>
      <c r="AD335">
        <v>1</v>
      </c>
      <c r="AE335" s="5">
        <v>12.2120833333333</v>
      </c>
      <c r="AF335" s="5">
        <v>7.00097222222222</v>
      </c>
      <c r="AG335" s="5">
        <v>0.642528075697275</v>
      </c>
      <c r="AH335" s="5">
        <v>16.1176470588235</v>
      </c>
      <c r="AI335" s="5">
        <v>0.459694901747447</v>
      </c>
      <c r="AJ335" s="5">
        <v>-0.280752981483328</v>
      </c>
      <c r="AK335" s="5">
        <v>0.459694901747447</v>
      </c>
      <c r="AL335" s="5">
        <v>0.280752981483328</v>
      </c>
      <c r="AM335" s="5">
        <v>10.1452721658031</v>
      </c>
      <c r="AN335" s="5">
        <v>-0.382289160206052</v>
      </c>
      <c r="AO335" s="5">
        <v>-0.72</v>
      </c>
      <c r="AP335" s="5">
        <v>1212.20967645111</v>
      </c>
      <c r="AQ335" s="5">
        <v>2.16502218725737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4.55274987369036</v>
      </c>
      <c r="AY335" s="5">
        <v>-7.13430555555556</v>
      </c>
      <c r="AZ335" s="5">
        <v>1</v>
      </c>
      <c r="BA335" s="5">
        <v>1</v>
      </c>
    </row>
    <row r="336" hidden="1" spans="1:53">
      <c r="A336" t="s">
        <v>53</v>
      </c>
      <c r="B336" t="s">
        <v>79</v>
      </c>
      <c r="C336" t="s">
        <v>55</v>
      </c>
      <c r="D336" s="4" t="s">
        <v>65</v>
      </c>
      <c r="E336">
        <v>0.09375</v>
      </c>
      <c r="F336">
        <v>6.7</v>
      </c>
      <c r="G336">
        <v>1</v>
      </c>
      <c r="H336">
        <v>17</v>
      </c>
      <c r="I336">
        <v>44</v>
      </c>
      <c r="J336">
        <v>36</v>
      </c>
      <c r="K336">
        <v>20</v>
      </c>
      <c r="L336" t="s">
        <v>57</v>
      </c>
      <c r="M336" t="s">
        <v>58</v>
      </c>
      <c r="N336" t="s">
        <v>87</v>
      </c>
      <c r="O336">
        <v>0.2821328598</v>
      </c>
      <c r="P336">
        <f t="shared" si="13"/>
        <v>3.0094171712</v>
      </c>
      <c r="Q336">
        <f t="shared" si="12"/>
        <v>1.10174642918135</v>
      </c>
      <c r="R336">
        <v>150</v>
      </c>
      <c r="S336" t="s">
        <v>60</v>
      </c>
      <c r="T336" t="s">
        <v>61</v>
      </c>
      <c r="U336" t="s">
        <v>62</v>
      </c>
      <c r="V336">
        <v>1</v>
      </c>
      <c r="W336">
        <v>0</v>
      </c>
      <c r="X336">
        <v>1</v>
      </c>
      <c r="Y336">
        <v>1</v>
      </c>
      <c r="Z336">
        <v>0</v>
      </c>
      <c r="AA336">
        <v>0</v>
      </c>
      <c r="AB336">
        <v>1</v>
      </c>
      <c r="AC336">
        <v>0</v>
      </c>
      <c r="AD336">
        <v>1</v>
      </c>
      <c r="AE336" s="5">
        <v>12.6956944444444</v>
      </c>
      <c r="AF336" s="5">
        <v>7.51923752834467</v>
      </c>
      <c r="AG336" s="5">
        <v>0.567423483996869</v>
      </c>
      <c r="AH336" s="5">
        <v>16.6086956521739</v>
      </c>
      <c r="AI336" s="5">
        <v>0.459647303367286</v>
      </c>
      <c r="AJ336" s="5">
        <v>-0.280752999575136</v>
      </c>
      <c r="AK336" s="5">
        <v>0.459647303367286</v>
      </c>
      <c r="AL336" s="5">
        <v>0.280752999575136</v>
      </c>
      <c r="AM336" s="5">
        <v>9.97962409166519</v>
      </c>
      <c r="AN336" s="5">
        <v>-0.433260944725331</v>
      </c>
      <c r="AO336" s="5">
        <v>-1</v>
      </c>
      <c r="AP336" s="5">
        <v>14934.5346948423</v>
      </c>
      <c r="AQ336" s="5">
        <v>2.69882520469918</v>
      </c>
      <c r="AR336" s="5">
        <v>0</v>
      </c>
      <c r="AS336" s="5">
        <v>0</v>
      </c>
      <c r="AT336" s="5">
        <v>0</v>
      </c>
      <c r="AU336" s="5">
        <v>0</v>
      </c>
      <c r="AV336" s="5">
        <v>0</v>
      </c>
      <c r="AW336" s="5">
        <v>0</v>
      </c>
      <c r="AX336" s="5">
        <v>4.55274987369036</v>
      </c>
      <c r="AY336" s="5">
        <v>-7.5938637329932</v>
      </c>
      <c r="AZ336" s="5">
        <v>1</v>
      </c>
      <c r="BA336" s="5">
        <v>1</v>
      </c>
    </row>
    <row r="337" hidden="1" spans="1:53">
      <c r="A337" t="s">
        <v>53</v>
      </c>
      <c r="B337" t="s">
        <v>79</v>
      </c>
      <c r="C337" t="s">
        <v>55</v>
      </c>
      <c r="D337" s="4" t="s">
        <v>66</v>
      </c>
      <c r="E337">
        <v>0.433593</v>
      </c>
      <c r="F337">
        <v>6.7</v>
      </c>
      <c r="G337">
        <v>1</v>
      </c>
      <c r="H337">
        <v>17</v>
      </c>
      <c r="I337">
        <v>44</v>
      </c>
      <c r="J337">
        <v>36</v>
      </c>
      <c r="K337">
        <v>20</v>
      </c>
      <c r="L337" t="s">
        <v>57</v>
      </c>
      <c r="M337" t="s">
        <v>58</v>
      </c>
      <c r="N337" t="s">
        <v>87</v>
      </c>
      <c r="O337">
        <v>0.7541974714</v>
      </c>
      <c r="P337">
        <f t="shared" si="13"/>
        <v>1.73941339320515</v>
      </c>
      <c r="Q337">
        <f t="shared" si="12"/>
        <v>0.55354792604336</v>
      </c>
      <c r="R337">
        <v>150</v>
      </c>
      <c r="S337" t="s">
        <v>60</v>
      </c>
      <c r="T337" t="s">
        <v>61</v>
      </c>
      <c r="U337" t="s">
        <v>62</v>
      </c>
      <c r="V337">
        <v>1</v>
      </c>
      <c r="W337">
        <v>0</v>
      </c>
      <c r="X337">
        <v>1</v>
      </c>
      <c r="Y337">
        <v>1</v>
      </c>
      <c r="Z337">
        <v>0</v>
      </c>
      <c r="AA337">
        <v>0</v>
      </c>
      <c r="AB337">
        <v>1</v>
      </c>
      <c r="AC337">
        <v>0</v>
      </c>
      <c r="AD337">
        <v>1</v>
      </c>
      <c r="AE337" s="5">
        <v>12.8254166666667</v>
      </c>
      <c r="AF337" s="5">
        <v>4.27882137345679</v>
      </c>
      <c r="AG337" s="5">
        <v>0.653062667189842</v>
      </c>
      <c r="AH337" s="5">
        <v>16.12</v>
      </c>
      <c r="AI337" s="5">
        <v>0.459647294455008</v>
      </c>
      <c r="AJ337" s="5">
        <v>-0.47662745733429</v>
      </c>
      <c r="AK337" s="5">
        <v>0.47662745733429</v>
      </c>
      <c r="AL337" s="5">
        <v>0.459647294455008</v>
      </c>
      <c r="AM337" s="5">
        <v>9.90907137329749</v>
      </c>
      <c r="AN337" s="5">
        <v>-0.449718247791216</v>
      </c>
      <c r="AO337" s="5">
        <v>-1.58</v>
      </c>
      <c r="AP337" s="5">
        <v>39741.8973369129</v>
      </c>
      <c r="AQ337" s="5">
        <v>2.73920148528388</v>
      </c>
      <c r="AR337" s="5">
        <v>0</v>
      </c>
      <c r="AS337" s="5">
        <v>4.79453718407182</v>
      </c>
      <c r="AT337" s="5">
        <v>0</v>
      </c>
      <c r="AU337" s="5">
        <v>0</v>
      </c>
      <c r="AV337" s="5">
        <v>0</v>
      </c>
      <c r="AW337" s="5">
        <v>0</v>
      </c>
      <c r="AX337" s="5">
        <v>5.10652739484071</v>
      </c>
      <c r="AY337" s="5">
        <v>-7.69383775037793</v>
      </c>
      <c r="AZ337" s="5">
        <v>0.875</v>
      </c>
      <c r="BA337" s="5">
        <v>1</v>
      </c>
    </row>
    <row r="338" hidden="1" spans="1:53">
      <c r="A338" t="s">
        <v>53</v>
      </c>
      <c r="B338" t="s">
        <v>79</v>
      </c>
      <c r="C338" t="s">
        <v>55</v>
      </c>
      <c r="D338" s="4" t="s">
        <v>67</v>
      </c>
      <c r="E338">
        <v>0.126157</v>
      </c>
      <c r="F338">
        <v>6.7</v>
      </c>
      <c r="G338">
        <v>1</v>
      </c>
      <c r="H338">
        <v>17</v>
      </c>
      <c r="I338">
        <v>44</v>
      </c>
      <c r="J338">
        <v>36</v>
      </c>
      <c r="K338">
        <v>20</v>
      </c>
      <c r="L338" t="s">
        <v>57</v>
      </c>
      <c r="M338" t="s">
        <v>58</v>
      </c>
      <c r="N338" t="s">
        <v>87</v>
      </c>
      <c r="O338">
        <v>1.1802922808</v>
      </c>
      <c r="P338">
        <f t="shared" si="13"/>
        <v>9.35574150304779</v>
      </c>
      <c r="Q338">
        <f t="shared" si="12"/>
        <v>2.23599021933723</v>
      </c>
      <c r="R338">
        <v>150</v>
      </c>
      <c r="S338" t="s">
        <v>60</v>
      </c>
      <c r="T338" t="s">
        <v>61</v>
      </c>
      <c r="U338" t="s">
        <v>62</v>
      </c>
      <c r="V338">
        <v>1</v>
      </c>
      <c r="W338">
        <v>0</v>
      </c>
      <c r="X338">
        <v>1</v>
      </c>
      <c r="Y338">
        <v>1</v>
      </c>
      <c r="Z338">
        <v>0</v>
      </c>
      <c r="AA338">
        <v>0</v>
      </c>
      <c r="AB338">
        <v>1</v>
      </c>
      <c r="AC338">
        <v>0</v>
      </c>
      <c r="AD338">
        <v>1</v>
      </c>
      <c r="AE338" s="5">
        <v>13.0371419123205</v>
      </c>
      <c r="AF338" s="5">
        <v>7.66829457707096</v>
      </c>
      <c r="AG338" s="5">
        <v>0.402493807679921</v>
      </c>
      <c r="AH338" s="5">
        <v>16.8965517241379</v>
      </c>
      <c r="AI338" s="5">
        <v>0.459647294440031</v>
      </c>
      <c r="AJ338" s="5">
        <v>-0.280752999575314</v>
      </c>
      <c r="AK338" s="5">
        <v>0.459647294440031</v>
      </c>
      <c r="AL338" s="5">
        <v>0.280752999575314</v>
      </c>
      <c r="AM338" s="5">
        <v>9.90856544965598</v>
      </c>
      <c r="AN338" s="5">
        <v>-0.457885273814649</v>
      </c>
      <c r="AO338" s="5">
        <v>-1.28</v>
      </c>
      <c r="AP338" s="5">
        <v>176558.643253875</v>
      </c>
      <c r="AQ338" s="5">
        <v>3.26474212239717</v>
      </c>
      <c r="AR338" s="5">
        <v>0</v>
      </c>
      <c r="AS338" s="5">
        <v>0</v>
      </c>
      <c r="AT338" s="5">
        <v>0</v>
      </c>
      <c r="AU338" s="5">
        <v>0</v>
      </c>
      <c r="AV338" s="5">
        <v>0</v>
      </c>
      <c r="AW338" s="5">
        <v>0</v>
      </c>
      <c r="AX338" s="5">
        <v>4.55274987369036</v>
      </c>
      <c r="AY338" s="5">
        <v>-7.88274914441085</v>
      </c>
      <c r="AZ338" s="5">
        <v>1</v>
      </c>
      <c r="BA338" s="5">
        <v>1</v>
      </c>
    </row>
    <row r="339" hidden="1" spans="1:53">
      <c r="A339" t="s">
        <v>53</v>
      </c>
      <c r="B339" t="s">
        <v>80</v>
      </c>
      <c r="C339" t="s">
        <v>55</v>
      </c>
      <c r="D339" s="4" t="s">
        <v>63</v>
      </c>
      <c r="E339">
        <v>0.152344</v>
      </c>
      <c r="F339">
        <v>6.7</v>
      </c>
      <c r="G339">
        <v>1</v>
      </c>
      <c r="H339">
        <v>17</v>
      </c>
      <c r="I339">
        <v>44</v>
      </c>
      <c r="J339">
        <v>36</v>
      </c>
      <c r="K339">
        <v>20</v>
      </c>
      <c r="L339" t="s">
        <v>57</v>
      </c>
      <c r="M339" t="s">
        <v>58</v>
      </c>
      <c r="N339" t="s">
        <v>87</v>
      </c>
      <c r="O339">
        <v>0.19609082054</v>
      </c>
      <c r="P339">
        <f t="shared" si="13"/>
        <v>1.28715814564407</v>
      </c>
      <c r="Q339">
        <f t="shared" si="12"/>
        <v>0.252436800353269</v>
      </c>
      <c r="R339">
        <v>150</v>
      </c>
      <c r="S339" t="s">
        <v>60</v>
      </c>
      <c r="T339" t="s">
        <v>61</v>
      </c>
      <c r="U339" t="s">
        <v>62</v>
      </c>
      <c r="V339">
        <v>1</v>
      </c>
      <c r="W339">
        <v>0</v>
      </c>
      <c r="X339">
        <v>1</v>
      </c>
      <c r="Y339">
        <v>1</v>
      </c>
      <c r="Z339">
        <v>0</v>
      </c>
      <c r="AA339">
        <v>0</v>
      </c>
      <c r="AB339">
        <v>1</v>
      </c>
      <c r="AC339">
        <v>0</v>
      </c>
      <c r="AD339">
        <v>1</v>
      </c>
      <c r="AE339" s="5">
        <v>12.2120833333333</v>
      </c>
      <c r="AF339" s="5">
        <v>7.00097222222222</v>
      </c>
      <c r="AG339" s="5">
        <v>0.642528075697275</v>
      </c>
      <c r="AH339" s="5">
        <v>16.1176470588235</v>
      </c>
      <c r="AI339" s="5">
        <v>0.459694901747447</v>
      </c>
      <c r="AJ339" s="5">
        <v>-0.280752981483328</v>
      </c>
      <c r="AK339" s="5">
        <v>0.459694901747447</v>
      </c>
      <c r="AL339" s="5">
        <v>0.280752981483328</v>
      </c>
      <c r="AM339" s="5">
        <v>10.1452721658031</v>
      </c>
      <c r="AN339" s="5">
        <v>-0.382289160206052</v>
      </c>
      <c r="AO339" s="5">
        <v>-0.72</v>
      </c>
      <c r="AP339" s="5">
        <v>1212.20967645111</v>
      </c>
      <c r="AQ339" s="5">
        <v>2.16502218725737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4.55274987369036</v>
      </c>
      <c r="AY339" s="5">
        <v>-7.13430555555556</v>
      </c>
      <c r="AZ339" s="5">
        <v>1</v>
      </c>
      <c r="BA339" s="5">
        <v>1</v>
      </c>
    </row>
    <row r="340" hidden="1" spans="1:53">
      <c r="A340" t="s">
        <v>53</v>
      </c>
      <c r="B340" t="s">
        <v>80</v>
      </c>
      <c r="C340" t="s">
        <v>55</v>
      </c>
      <c r="D340" s="4" t="s">
        <v>65</v>
      </c>
      <c r="E340">
        <v>0.058594</v>
      </c>
      <c r="F340">
        <v>6.7</v>
      </c>
      <c r="G340">
        <v>1</v>
      </c>
      <c r="H340">
        <v>17</v>
      </c>
      <c r="I340">
        <v>44</v>
      </c>
      <c r="J340">
        <v>36</v>
      </c>
      <c r="K340">
        <v>20</v>
      </c>
      <c r="L340" t="s">
        <v>57</v>
      </c>
      <c r="M340" t="s">
        <v>58</v>
      </c>
      <c r="N340" t="s">
        <v>87</v>
      </c>
      <c r="O340">
        <v>0.16013534</v>
      </c>
      <c r="P340">
        <f t="shared" si="13"/>
        <v>2.73296480868348</v>
      </c>
      <c r="Q340">
        <f t="shared" si="12"/>
        <v>1.00538703042083</v>
      </c>
      <c r="R340">
        <v>150</v>
      </c>
      <c r="S340" t="s">
        <v>60</v>
      </c>
      <c r="T340" t="s">
        <v>61</v>
      </c>
      <c r="U340" t="s">
        <v>62</v>
      </c>
      <c r="V340">
        <v>1</v>
      </c>
      <c r="W340">
        <v>0</v>
      </c>
      <c r="X340">
        <v>1</v>
      </c>
      <c r="Y340">
        <v>1</v>
      </c>
      <c r="Z340">
        <v>0</v>
      </c>
      <c r="AA340">
        <v>0</v>
      </c>
      <c r="AB340">
        <v>1</v>
      </c>
      <c r="AC340">
        <v>0</v>
      </c>
      <c r="AD340">
        <v>1</v>
      </c>
      <c r="AE340" s="5">
        <v>12.6956944444444</v>
      </c>
      <c r="AF340" s="5">
        <v>7.51923752834467</v>
      </c>
      <c r="AG340" s="5">
        <v>0.567423483996869</v>
      </c>
      <c r="AH340" s="5">
        <v>16.6086956521739</v>
      </c>
      <c r="AI340" s="5">
        <v>0.459647303367286</v>
      </c>
      <c r="AJ340" s="5">
        <v>-0.280752999575136</v>
      </c>
      <c r="AK340" s="5">
        <v>0.459647303367286</v>
      </c>
      <c r="AL340" s="5">
        <v>0.280752999575136</v>
      </c>
      <c r="AM340" s="5">
        <v>9.97962409166519</v>
      </c>
      <c r="AN340" s="5">
        <v>-0.433260944725331</v>
      </c>
      <c r="AO340" s="5">
        <v>-1</v>
      </c>
      <c r="AP340" s="5">
        <v>14934.5346948423</v>
      </c>
      <c r="AQ340" s="5">
        <v>2.69882520469918</v>
      </c>
      <c r="AR340" s="5">
        <v>0</v>
      </c>
      <c r="AS340" s="5">
        <v>0</v>
      </c>
      <c r="AT340" s="5">
        <v>0</v>
      </c>
      <c r="AU340" s="5">
        <v>0</v>
      </c>
      <c r="AV340" s="5">
        <v>0</v>
      </c>
      <c r="AW340" s="5">
        <v>0</v>
      </c>
      <c r="AX340" s="5">
        <v>4.55274987369036</v>
      </c>
      <c r="AY340" s="5">
        <v>-7.5938637329932</v>
      </c>
      <c r="AZ340" s="5">
        <v>1</v>
      </c>
      <c r="BA340" s="5">
        <v>1</v>
      </c>
    </row>
    <row r="341" hidden="1" spans="1:53">
      <c r="A341" t="s">
        <v>53</v>
      </c>
      <c r="B341" t="s">
        <v>80</v>
      </c>
      <c r="C341" t="s">
        <v>55</v>
      </c>
      <c r="D341" s="4" t="s">
        <v>66</v>
      </c>
      <c r="E341">
        <v>0.351563</v>
      </c>
      <c r="F341">
        <v>6.7</v>
      </c>
      <c r="G341">
        <v>1</v>
      </c>
      <c r="H341">
        <v>17</v>
      </c>
      <c r="I341">
        <v>44</v>
      </c>
      <c r="J341">
        <v>36</v>
      </c>
      <c r="K341">
        <v>20</v>
      </c>
      <c r="L341" t="s">
        <v>57</v>
      </c>
      <c r="M341" t="s">
        <v>58</v>
      </c>
      <c r="N341" t="s">
        <v>87</v>
      </c>
      <c r="O341">
        <v>0.640064571</v>
      </c>
      <c r="P341">
        <f t="shared" si="13"/>
        <v>1.82062552373259</v>
      </c>
      <c r="Q341">
        <f t="shared" si="12"/>
        <v>0.599180136397893</v>
      </c>
      <c r="R341">
        <v>150</v>
      </c>
      <c r="S341" t="s">
        <v>60</v>
      </c>
      <c r="T341" t="s">
        <v>61</v>
      </c>
      <c r="U341" t="s">
        <v>62</v>
      </c>
      <c r="V341">
        <v>1</v>
      </c>
      <c r="W341">
        <v>0</v>
      </c>
      <c r="X341">
        <v>1</v>
      </c>
      <c r="Y341">
        <v>1</v>
      </c>
      <c r="Z341">
        <v>0</v>
      </c>
      <c r="AA341">
        <v>0</v>
      </c>
      <c r="AB341">
        <v>1</v>
      </c>
      <c r="AC341">
        <v>0</v>
      </c>
      <c r="AD341">
        <v>1</v>
      </c>
      <c r="AE341" s="5">
        <v>12.8254166666667</v>
      </c>
      <c r="AF341" s="5">
        <v>4.27882137345679</v>
      </c>
      <c r="AG341" s="5">
        <v>0.653062667189842</v>
      </c>
      <c r="AH341" s="5">
        <v>16.12</v>
      </c>
      <c r="AI341" s="5">
        <v>0.459647294455008</v>
      </c>
      <c r="AJ341" s="5">
        <v>-0.47662745733429</v>
      </c>
      <c r="AK341" s="5">
        <v>0.47662745733429</v>
      </c>
      <c r="AL341" s="5">
        <v>0.459647294455008</v>
      </c>
      <c r="AM341" s="5">
        <v>9.90907137329749</v>
      </c>
      <c r="AN341" s="5">
        <v>-0.449718247791216</v>
      </c>
      <c r="AO341" s="5">
        <v>-1.58</v>
      </c>
      <c r="AP341" s="5">
        <v>39741.8973369129</v>
      </c>
      <c r="AQ341" s="5">
        <v>2.73920148528388</v>
      </c>
      <c r="AR341" s="5">
        <v>0</v>
      </c>
      <c r="AS341" s="5">
        <v>4.79453718407182</v>
      </c>
      <c r="AT341" s="5">
        <v>0</v>
      </c>
      <c r="AU341" s="5">
        <v>0</v>
      </c>
      <c r="AV341" s="5">
        <v>0</v>
      </c>
      <c r="AW341" s="5">
        <v>0</v>
      </c>
      <c r="AX341" s="5">
        <v>5.10652739484071</v>
      </c>
      <c r="AY341" s="5">
        <v>-7.69383775037793</v>
      </c>
      <c r="AZ341" s="5">
        <v>0.875</v>
      </c>
      <c r="BA341" s="5">
        <v>1</v>
      </c>
    </row>
    <row r="342" hidden="1" spans="1:53">
      <c r="A342" t="s">
        <v>53</v>
      </c>
      <c r="B342" t="s">
        <v>80</v>
      </c>
      <c r="C342" t="s">
        <v>55</v>
      </c>
      <c r="D342" s="4" t="s">
        <v>67</v>
      </c>
      <c r="E342">
        <v>0.0234369999999999</v>
      </c>
      <c r="F342">
        <v>6.7</v>
      </c>
      <c r="G342">
        <v>1</v>
      </c>
      <c r="H342">
        <v>17</v>
      </c>
      <c r="I342">
        <v>44</v>
      </c>
      <c r="J342">
        <v>36</v>
      </c>
      <c r="K342">
        <v>20</v>
      </c>
      <c r="L342" t="s">
        <v>57</v>
      </c>
      <c r="M342" t="s">
        <v>58</v>
      </c>
      <c r="N342" t="s">
        <v>87</v>
      </c>
      <c r="O342">
        <v>1.2799252736</v>
      </c>
      <c r="P342">
        <f t="shared" si="13"/>
        <v>54.6113100482146</v>
      </c>
      <c r="Q342">
        <f t="shared" si="12"/>
        <v>4.00024100503975</v>
      </c>
      <c r="R342">
        <v>150</v>
      </c>
      <c r="S342" t="s">
        <v>60</v>
      </c>
      <c r="T342" t="s">
        <v>61</v>
      </c>
      <c r="U342" t="s">
        <v>62</v>
      </c>
      <c r="V342">
        <v>1</v>
      </c>
      <c r="W342">
        <v>0</v>
      </c>
      <c r="X342">
        <v>1</v>
      </c>
      <c r="Y342">
        <v>1</v>
      </c>
      <c r="Z342">
        <v>0</v>
      </c>
      <c r="AA342">
        <v>0</v>
      </c>
      <c r="AB342">
        <v>1</v>
      </c>
      <c r="AC342">
        <v>0</v>
      </c>
      <c r="AD342">
        <v>1</v>
      </c>
      <c r="AE342" s="5">
        <v>13.0371419123205</v>
      </c>
      <c r="AF342" s="5">
        <v>7.66829457707096</v>
      </c>
      <c r="AG342" s="5">
        <v>0.402493807679921</v>
      </c>
      <c r="AH342" s="5">
        <v>16.8965517241379</v>
      </c>
      <c r="AI342" s="5">
        <v>0.459647294440031</v>
      </c>
      <c r="AJ342" s="5">
        <v>-0.280752999575314</v>
      </c>
      <c r="AK342" s="5">
        <v>0.459647294440031</v>
      </c>
      <c r="AL342" s="5">
        <v>0.280752999575314</v>
      </c>
      <c r="AM342" s="5">
        <v>9.90856544965598</v>
      </c>
      <c r="AN342" s="5">
        <v>-0.457885273814649</v>
      </c>
      <c r="AO342" s="5">
        <v>-1.28</v>
      </c>
      <c r="AP342" s="5">
        <v>176558.643253875</v>
      </c>
      <c r="AQ342" s="5">
        <v>3.26474212239717</v>
      </c>
      <c r="AR342" s="5">
        <v>0</v>
      </c>
      <c r="AS342" s="5">
        <v>0</v>
      </c>
      <c r="AT342" s="5">
        <v>0</v>
      </c>
      <c r="AU342" s="5">
        <v>0</v>
      </c>
      <c r="AV342" s="5">
        <v>0</v>
      </c>
      <c r="AW342" s="5">
        <v>0</v>
      </c>
      <c r="AX342" s="5">
        <v>4.55274987369036</v>
      </c>
      <c r="AY342" s="5">
        <v>-7.88274914441085</v>
      </c>
      <c r="AZ342" s="5">
        <v>1</v>
      </c>
      <c r="BA342" s="5">
        <v>1</v>
      </c>
    </row>
    <row r="343" hidden="1" spans="1:53">
      <c r="A343" t="s">
        <v>53</v>
      </c>
      <c r="B343" t="s">
        <v>81</v>
      </c>
      <c r="C343" t="s">
        <v>55</v>
      </c>
      <c r="D343" s="4" t="s">
        <v>65</v>
      </c>
      <c r="E343">
        <v>0.0234380000000001</v>
      </c>
      <c r="F343">
        <v>6.7</v>
      </c>
      <c r="G343">
        <v>1</v>
      </c>
      <c r="H343">
        <v>17</v>
      </c>
      <c r="I343">
        <v>44</v>
      </c>
      <c r="J343">
        <v>36</v>
      </c>
      <c r="K343">
        <v>20</v>
      </c>
      <c r="L343" t="s">
        <v>57</v>
      </c>
      <c r="M343" t="s">
        <v>58</v>
      </c>
      <c r="N343" t="s">
        <v>87</v>
      </c>
      <c r="O343">
        <v>0.19023401001</v>
      </c>
      <c r="P343">
        <f t="shared" si="13"/>
        <v>8.11647794223053</v>
      </c>
      <c r="Q343">
        <f t="shared" si="12"/>
        <v>2.0938963091196</v>
      </c>
      <c r="R343">
        <v>150</v>
      </c>
      <c r="S343" t="s">
        <v>60</v>
      </c>
      <c r="T343" t="s">
        <v>61</v>
      </c>
      <c r="U343" t="s">
        <v>62</v>
      </c>
      <c r="V343">
        <v>1</v>
      </c>
      <c r="W343">
        <v>0</v>
      </c>
      <c r="X343">
        <v>1</v>
      </c>
      <c r="Y343">
        <v>1</v>
      </c>
      <c r="Z343">
        <v>0</v>
      </c>
      <c r="AA343">
        <v>0</v>
      </c>
      <c r="AB343">
        <v>1</v>
      </c>
      <c r="AC343">
        <v>0</v>
      </c>
      <c r="AD343">
        <v>1</v>
      </c>
      <c r="AE343" s="5">
        <v>12.6956944444444</v>
      </c>
      <c r="AF343" s="5">
        <v>7.51923752834467</v>
      </c>
      <c r="AG343" s="5">
        <v>0.567423483996869</v>
      </c>
      <c r="AH343" s="5">
        <v>16.6086956521739</v>
      </c>
      <c r="AI343" s="5">
        <v>0.459647303367286</v>
      </c>
      <c r="AJ343" s="5">
        <v>-0.280752999575136</v>
      </c>
      <c r="AK343" s="5">
        <v>0.459647303367286</v>
      </c>
      <c r="AL343" s="5">
        <v>0.280752999575136</v>
      </c>
      <c r="AM343" s="5">
        <v>9.97962409166519</v>
      </c>
      <c r="AN343" s="5">
        <v>-0.433260944725331</v>
      </c>
      <c r="AO343" s="5">
        <v>-1</v>
      </c>
      <c r="AP343" s="5">
        <v>14934.5346948423</v>
      </c>
      <c r="AQ343" s="5">
        <v>2.69882520469918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4.55274987369036</v>
      </c>
      <c r="AY343" s="5">
        <v>-7.5938637329932</v>
      </c>
      <c r="AZ343" s="5">
        <v>1</v>
      </c>
      <c r="BA343" s="5">
        <v>1</v>
      </c>
    </row>
    <row r="344" hidden="1" spans="1:53">
      <c r="A344" t="s">
        <v>53</v>
      </c>
      <c r="B344" t="s">
        <v>81</v>
      </c>
      <c r="C344" t="s">
        <v>55</v>
      </c>
      <c r="D344" s="4" t="s">
        <v>66</v>
      </c>
      <c r="E344">
        <v>0.562496</v>
      </c>
      <c r="F344">
        <v>6.7</v>
      </c>
      <c r="G344">
        <v>1</v>
      </c>
      <c r="H344">
        <v>17</v>
      </c>
      <c r="I344">
        <v>44</v>
      </c>
      <c r="J344">
        <v>36</v>
      </c>
      <c r="K344">
        <v>20</v>
      </c>
      <c r="L344" t="s">
        <v>57</v>
      </c>
      <c r="M344" t="s">
        <v>58</v>
      </c>
      <c r="N344" t="s">
        <v>87</v>
      </c>
      <c r="O344">
        <v>0.5815861293</v>
      </c>
      <c r="P344">
        <f t="shared" si="13"/>
        <v>1.0339382489831</v>
      </c>
      <c r="Q344">
        <f t="shared" si="12"/>
        <v>0.0333750537836543</v>
      </c>
      <c r="R344">
        <v>150</v>
      </c>
      <c r="S344" t="s">
        <v>60</v>
      </c>
      <c r="T344" t="s">
        <v>61</v>
      </c>
      <c r="U344" t="s">
        <v>62</v>
      </c>
      <c r="V344">
        <v>1</v>
      </c>
      <c r="W344">
        <v>0</v>
      </c>
      <c r="X344">
        <v>1</v>
      </c>
      <c r="Y344">
        <v>1</v>
      </c>
      <c r="Z344">
        <v>0</v>
      </c>
      <c r="AA344">
        <v>0</v>
      </c>
      <c r="AB344">
        <v>1</v>
      </c>
      <c r="AC344">
        <v>0</v>
      </c>
      <c r="AD344">
        <v>1</v>
      </c>
      <c r="AE344" s="5">
        <v>12.8254166666667</v>
      </c>
      <c r="AF344" s="5">
        <v>4.27882137345679</v>
      </c>
      <c r="AG344" s="5">
        <v>0.653062667189842</v>
      </c>
      <c r="AH344" s="5">
        <v>16.12</v>
      </c>
      <c r="AI344" s="5">
        <v>0.459647294455008</v>
      </c>
      <c r="AJ344" s="5">
        <v>-0.47662745733429</v>
      </c>
      <c r="AK344" s="5">
        <v>0.47662745733429</v>
      </c>
      <c r="AL344" s="5">
        <v>0.459647294455008</v>
      </c>
      <c r="AM344" s="5">
        <v>9.90907137329749</v>
      </c>
      <c r="AN344" s="5">
        <v>-0.449718247791216</v>
      </c>
      <c r="AO344" s="5">
        <v>-1.58</v>
      </c>
      <c r="AP344" s="5">
        <v>39741.8973369129</v>
      </c>
      <c r="AQ344" s="5">
        <v>2.73920148528388</v>
      </c>
      <c r="AR344" s="5">
        <v>0</v>
      </c>
      <c r="AS344" s="5">
        <v>4.79453718407182</v>
      </c>
      <c r="AT344" s="5">
        <v>0</v>
      </c>
      <c r="AU344" s="5">
        <v>0</v>
      </c>
      <c r="AV344" s="5">
        <v>0</v>
      </c>
      <c r="AW344" s="5">
        <v>0</v>
      </c>
      <c r="AX344" s="5">
        <v>5.10652739484071</v>
      </c>
      <c r="AY344" s="5">
        <v>-7.69383775037793</v>
      </c>
      <c r="AZ344" s="5">
        <v>0.875</v>
      </c>
      <c r="BA344" s="5">
        <v>1</v>
      </c>
    </row>
    <row r="345" hidden="1" spans="1:53">
      <c r="A345" t="s">
        <v>53</v>
      </c>
      <c r="B345" t="s">
        <v>81</v>
      </c>
      <c r="C345" t="s">
        <v>55</v>
      </c>
      <c r="D345" s="4" t="s">
        <v>67</v>
      </c>
      <c r="E345">
        <v>0.0234400000000001</v>
      </c>
      <c r="F345">
        <v>6.7</v>
      </c>
      <c r="G345">
        <v>1</v>
      </c>
      <c r="H345">
        <v>17</v>
      </c>
      <c r="I345">
        <v>44</v>
      </c>
      <c r="J345">
        <v>36</v>
      </c>
      <c r="K345">
        <v>20</v>
      </c>
      <c r="L345" t="s">
        <v>57</v>
      </c>
      <c r="M345" t="s">
        <v>58</v>
      </c>
      <c r="N345" t="s">
        <v>87</v>
      </c>
      <c r="O345">
        <v>1.2387402951</v>
      </c>
      <c r="P345">
        <f t="shared" si="13"/>
        <v>52.8472822141636</v>
      </c>
      <c r="Q345">
        <f t="shared" si="12"/>
        <v>3.96740628647482</v>
      </c>
      <c r="R345">
        <v>150</v>
      </c>
      <c r="S345" t="s">
        <v>60</v>
      </c>
      <c r="T345" t="s">
        <v>61</v>
      </c>
      <c r="U345" t="s">
        <v>62</v>
      </c>
      <c r="V345">
        <v>1</v>
      </c>
      <c r="W345">
        <v>0</v>
      </c>
      <c r="X345">
        <v>1</v>
      </c>
      <c r="Y345">
        <v>1</v>
      </c>
      <c r="Z345">
        <v>0</v>
      </c>
      <c r="AA345">
        <v>0</v>
      </c>
      <c r="AB345">
        <v>1</v>
      </c>
      <c r="AC345">
        <v>0</v>
      </c>
      <c r="AD345">
        <v>1</v>
      </c>
      <c r="AE345" s="5">
        <v>13.0371419123205</v>
      </c>
      <c r="AF345" s="5">
        <v>7.66829457707096</v>
      </c>
      <c r="AG345" s="5">
        <v>0.402493807679921</v>
      </c>
      <c r="AH345" s="5">
        <v>16.8965517241379</v>
      </c>
      <c r="AI345" s="5">
        <v>0.459647294440031</v>
      </c>
      <c r="AJ345" s="5">
        <v>-0.280752999575314</v>
      </c>
      <c r="AK345" s="5">
        <v>0.459647294440031</v>
      </c>
      <c r="AL345" s="5">
        <v>0.280752999575314</v>
      </c>
      <c r="AM345" s="5">
        <v>9.90856544965598</v>
      </c>
      <c r="AN345" s="5">
        <v>-0.457885273814649</v>
      </c>
      <c r="AO345" s="5">
        <v>-1.28</v>
      </c>
      <c r="AP345" s="5">
        <v>176558.643253875</v>
      </c>
      <c r="AQ345" s="5">
        <v>3.26474212239717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4.55274987369036</v>
      </c>
      <c r="AY345" s="5">
        <v>-7.88274914441085</v>
      </c>
      <c r="AZ345" s="5">
        <v>1</v>
      </c>
      <c r="BA345" s="5">
        <v>1</v>
      </c>
    </row>
    <row r="346" hidden="1" spans="1:53">
      <c r="A346" t="s">
        <v>53</v>
      </c>
      <c r="B346" t="s">
        <v>82</v>
      </c>
      <c r="C346" t="s">
        <v>55</v>
      </c>
      <c r="D346" s="4" t="s">
        <v>63</v>
      </c>
      <c r="E346">
        <v>0.152344</v>
      </c>
      <c r="F346">
        <v>6.7</v>
      </c>
      <c r="G346">
        <v>1</v>
      </c>
      <c r="H346">
        <v>17</v>
      </c>
      <c r="I346">
        <v>44</v>
      </c>
      <c r="J346">
        <v>36</v>
      </c>
      <c r="K346">
        <v>20</v>
      </c>
      <c r="L346" t="s">
        <v>57</v>
      </c>
      <c r="M346" t="s">
        <v>58</v>
      </c>
      <c r="N346" t="s">
        <v>87</v>
      </c>
      <c r="O346">
        <v>0.19785285031</v>
      </c>
      <c r="P346">
        <f t="shared" si="13"/>
        <v>1.29872427079504</v>
      </c>
      <c r="Q346">
        <f t="shared" si="12"/>
        <v>0.26138245249015</v>
      </c>
      <c r="R346">
        <v>150</v>
      </c>
      <c r="S346" t="s">
        <v>60</v>
      </c>
      <c r="T346" t="s">
        <v>61</v>
      </c>
      <c r="U346" t="s">
        <v>62</v>
      </c>
      <c r="V346">
        <v>1</v>
      </c>
      <c r="W346">
        <v>0</v>
      </c>
      <c r="X346">
        <v>1</v>
      </c>
      <c r="Y346">
        <v>1</v>
      </c>
      <c r="Z346">
        <v>0</v>
      </c>
      <c r="AA346">
        <v>0</v>
      </c>
      <c r="AB346">
        <v>1</v>
      </c>
      <c r="AC346">
        <v>0</v>
      </c>
      <c r="AD346">
        <v>1</v>
      </c>
      <c r="AE346" s="5">
        <v>12.2120833333333</v>
      </c>
      <c r="AF346" s="5">
        <v>7.00097222222222</v>
      </c>
      <c r="AG346" s="5">
        <v>0.642528075697275</v>
      </c>
      <c r="AH346" s="5">
        <v>16.1176470588235</v>
      </c>
      <c r="AI346" s="5">
        <v>0.459694901747447</v>
      </c>
      <c r="AJ346" s="5">
        <v>-0.280752981483328</v>
      </c>
      <c r="AK346" s="5">
        <v>0.459694901747447</v>
      </c>
      <c r="AL346" s="5">
        <v>0.280752981483328</v>
      </c>
      <c r="AM346" s="5">
        <v>10.1452721658031</v>
      </c>
      <c r="AN346" s="5">
        <v>-0.382289160206052</v>
      </c>
      <c r="AO346" s="5">
        <v>-0.72</v>
      </c>
      <c r="AP346" s="5">
        <v>1212.20967645111</v>
      </c>
      <c r="AQ346" s="5">
        <v>2.16502218725737</v>
      </c>
      <c r="AR346" s="5">
        <v>0</v>
      </c>
      <c r="AS346" s="5">
        <v>0</v>
      </c>
      <c r="AT346" s="5">
        <v>0</v>
      </c>
      <c r="AU346" s="5">
        <v>0</v>
      </c>
      <c r="AV346" s="5">
        <v>0</v>
      </c>
      <c r="AW346" s="5">
        <v>0</v>
      </c>
      <c r="AX346" s="5">
        <v>4.55274987369036</v>
      </c>
      <c r="AY346" s="5">
        <v>-7.13430555555556</v>
      </c>
      <c r="AZ346" s="5">
        <v>1</v>
      </c>
      <c r="BA346" s="5">
        <v>1</v>
      </c>
    </row>
    <row r="347" hidden="1" spans="1:53">
      <c r="A347" t="s">
        <v>53</v>
      </c>
      <c r="B347" t="s">
        <v>82</v>
      </c>
      <c r="C347" t="s">
        <v>55</v>
      </c>
      <c r="D347" s="4" t="s">
        <v>65</v>
      </c>
      <c r="E347">
        <v>0.035157</v>
      </c>
      <c r="F347">
        <v>6.7</v>
      </c>
      <c r="G347">
        <v>1</v>
      </c>
      <c r="H347">
        <v>17</v>
      </c>
      <c r="I347">
        <v>44</v>
      </c>
      <c r="J347">
        <v>36</v>
      </c>
      <c r="K347">
        <v>20</v>
      </c>
      <c r="L347" t="s">
        <v>57</v>
      </c>
      <c r="M347" t="s">
        <v>58</v>
      </c>
      <c r="N347" t="s">
        <v>87</v>
      </c>
      <c r="O347">
        <v>0.1800584904</v>
      </c>
      <c r="P347">
        <f t="shared" si="13"/>
        <v>5.1215544671047</v>
      </c>
      <c r="Q347">
        <f t="shared" si="12"/>
        <v>1.63345799982857</v>
      </c>
      <c r="R347">
        <v>150</v>
      </c>
      <c r="S347" t="s">
        <v>60</v>
      </c>
      <c r="T347" t="s">
        <v>61</v>
      </c>
      <c r="U347" t="s">
        <v>62</v>
      </c>
      <c r="V347">
        <v>1</v>
      </c>
      <c r="W347">
        <v>0</v>
      </c>
      <c r="X347">
        <v>1</v>
      </c>
      <c r="Y347">
        <v>1</v>
      </c>
      <c r="Z347">
        <v>0</v>
      </c>
      <c r="AA347">
        <v>0</v>
      </c>
      <c r="AB347">
        <v>1</v>
      </c>
      <c r="AC347">
        <v>0</v>
      </c>
      <c r="AD347">
        <v>1</v>
      </c>
      <c r="AE347" s="5">
        <v>12.6956944444444</v>
      </c>
      <c r="AF347" s="5">
        <v>7.51923752834467</v>
      </c>
      <c r="AG347" s="5">
        <v>0.567423483996869</v>
      </c>
      <c r="AH347" s="5">
        <v>16.6086956521739</v>
      </c>
      <c r="AI347" s="5">
        <v>0.459647303367286</v>
      </c>
      <c r="AJ347" s="5">
        <v>-0.280752999575136</v>
      </c>
      <c r="AK347" s="5">
        <v>0.459647303367286</v>
      </c>
      <c r="AL347" s="5">
        <v>0.280752999575136</v>
      </c>
      <c r="AM347" s="5">
        <v>9.97962409166519</v>
      </c>
      <c r="AN347" s="5">
        <v>-0.433260944725331</v>
      </c>
      <c r="AO347" s="5">
        <v>-1</v>
      </c>
      <c r="AP347" s="5">
        <v>14934.5346948423</v>
      </c>
      <c r="AQ347" s="5">
        <v>2.69882520469918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4.55274987369036</v>
      </c>
      <c r="AY347" s="5">
        <v>-7.5938637329932</v>
      </c>
      <c r="AZ347" s="5">
        <v>1</v>
      </c>
      <c r="BA347" s="5">
        <v>1</v>
      </c>
    </row>
    <row r="348" hidden="1" spans="1:53">
      <c r="A348" t="s">
        <v>53</v>
      </c>
      <c r="B348" t="s">
        <v>82</v>
      </c>
      <c r="C348" t="s">
        <v>55</v>
      </c>
      <c r="D348" s="4" t="s">
        <v>66</v>
      </c>
      <c r="E348">
        <v>0.316406</v>
      </c>
      <c r="F348">
        <v>6.7</v>
      </c>
      <c r="G348">
        <v>1</v>
      </c>
      <c r="H348">
        <v>17</v>
      </c>
      <c r="I348">
        <v>44</v>
      </c>
      <c r="J348">
        <v>36</v>
      </c>
      <c r="K348">
        <v>20</v>
      </c>
      <c r="L348" t="s">
        <v>57</v>
      </c>
      <c r="M348" t="s">
        <v>58</v>
      </c>
      <c r="N348" t="s">
        <v>87</v>
      </c>
      <c r="O348">
        <v>0.65219958592</v>
      </c>
      <c r="P348">
        <f t="shared" si="13"/>
        <v>2.06127439403804</v>
      </c>
      <c r="Q348">
        <f t="shared" si="12"/>
        <v>0.723324429406502</v>
      </c>
      <c r="R348">
        <v>150</v>
      </c>
      <c r="S348" t="s">
        <v>60</v>
      </c>
      <c r="T348" t="s">
        <v>61</v>
      </c>
      <c r="U348" t="s">
        <v>62</v>
      </c>
      <c r="V348">
        <v>1</v>
      </c>
      <c r="W348">
        <v>0</v>
      </c>
      <c r="X348">
        <v>1</v>
      </c>
      <c r="Y348">
        <v>1</v>
      </c>
      <c r="Z348">
        <v>0</v>
      </c>
      <c r="AA348">
        <v>0</v>
      </c>
      <c r="AB348">
        <v>1</v>
      </c>
      <c r="AC348">
        <v>0</v>
      </c>
      <c r="AD348">
        <v>1</v>
      </c>
      <c r="AE348" s="5">
        <v>12.8254166666667</v>
      </c>
      <c r="AF348" s="5">
        <v>4.27882137345679</v>
      </c>
      <c r="AG348" s="5">
        <v>0.653062667189842</v>
      </c>
      <c r="AH348" s="5">
        <v>16.12</v>
      </c>
      <c r="AI348" s="5">
        <v>0.459647294455008</v>
      </c>
      <c r="AJ348" s="5">
        <v>-0.47662745733429</v>
      </c>
      <c r="AK348" s="5">
        <v>0.47662745733429</v>
      </c>
      <c r="AL348" s="5">
        <v>0.459647294455008</v>
      </c>
      <c r="AM348" s="5">
        <v>9.90907137329749</v>
      </c>
      <c r="AN348" s="5">
        <v>-0.449718247791216</v>
      </c>
      <c r="AO348" s="5">
        <v>-1.58</v>
      </c>
      <c r="AP348" s="5">
        <v>39741.8973369129</v>
      </c>
      <c r="AQ348" s="5">
        <v>2.73920148528388</v>
      </c>
      <c r="AR348" s="5">
        <v>0</v>
      </c>
      <c r="AS348" s="5">
        <v>4.79453718407182</v>
      </c>
      <c r="AT348" s="5">
        <v>0</v>
      </c>
      <c r="AU348" s="5">
        <v>0</v>
      </c>
      <c r="AV348" s="5">
        <v>0</v>
      </c>
      <c r="AW348" s="5">
        <v>0</v>
      </c>
      <c r="AX348" s="5">
        <v>5.10652739484071</v>
      </c>
      <c r="AY348" s="5">
        <v>-7.69383775037793</v>
      </c>
      <c r="AZ348" s="5">
        <v>0.875</v>
      </c>
      <c r="BA348" s="5">
        <v>1</v>
      </c>
    </row>
    <row r="349" hidden="1" spans="1:53">
      <c r="A349" t="s">
        <v>53</v>
      </c>
      <c r="B349" t="s">
        <v>82</v>
      </c>
      <c r="C349" t="s">
        <v>55</v>
      </c>
      <c r="D349" s="4" t="s">
        <v>67</v>
      </c>
      <c r="E349">
        <v>0.035156</v>
      </c>
      <c r="F349">
        <v>6.7</v>
      </c>
      <c r="G349">
        <v>1</v>
      </c>
      <c r="H349">
        <v>17</v>
      </c>
      <c r="I349">
        <v>44</v>
      </c>
      <c r="J349">
        <v>36</v>
      </c>
      <c r="K349">
        <v>20</v>
      </c>
      <c r="L349" t="s">
        <v>57</v>
      </c>
      <c r="M349" t="s">
        <v>58</v>
      </c>
      <c r="N349" t="s">
        <v>87</v>
      </c>
      <c r="O349">
        <v>1.2685894245</v>
      </c>
      <c r="P349">
        <f t="shared" si="13"/>
        <v>36.0845780094436</v>
      </c>
      <c r="Q349">
        <f t="shared" si="12"/>
        <v>3.58586557210761</v>
      </c>
      <c r="R349">
        <v>150</v>
      </c>
      <c r="S349" t="s">
        <v>60</v>
      </c>
      <c r="T349" t="s">
        <v>61</v>
      </c>
      <c r="U349" t="s">
        <v>62</v>
      </c>
      <c r="V349">
        <v>1</v>
      </c>
      <c r="W349">
        <v>0</v>
      </c>
      <c r="X349">
        <v>1</v>
      </c>
      <c r="Y349">
        <v>1</v>
      </c>
      <c r="Z349">
        <v>0</v>
      </c>
      <c r="AA349">
        <v>0</v>
      </c>
      <c r="AB349">
        <v>1</v>
      </c>
      <c r="AC349">
        <v>0</v>
      </c>
      <c r="AD349">
        <v>1</v>
      </c>
      <c r="AE349" s="5">
        <v>13.0371419123205</v>
      </c>
      <c r="AF349" s="5">
        <v>7.66829457707096</v>
      </c>
      <c r="AG349" s="5">
        <v>0.402493807679921</v>
      </c>
      <c r="AH349" s="5">
        <v>16.8965517241379</v>
      </c>
      <c r="AI349" s="5">
        <v>0.459647294440031</v>
      </c>
      <c r="AJ349" s="5">
        <v>-0.280752999575314</v>
      </c>
      <c r="AK349" s="5">
        <v>0.459647294440031</v>
      </c>
      <c r="AL349" s="5">
        <v>0.280752999575314</v>
      </c>
      <c r="AM349" s="5">
        <v>9.90856544965598</v>
      </c>
      <c r="AN349" s="5">
        <v>-0.457885273814649</v>
      </c>
      <c r="AO349" s="5">
        <v>-1.28</v>
      </c>
      <c r="AP349" s="5">
        <v>176558.643253875</v>
      </c>
      <c r="AQ349" s="5">
        <v>3.26474212239717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4.55274987369036</v>
      </c>
      <c r="AY349" s="5">
        <v>-7.88274914441085</v>
      </c>
      <c r="AZ349" s="5">
        <v>1</v>
      </c>
      <c r="BA349" s="5">
        <v>1</v>
      </c>
    </row>
    <row r="350" hidden="1" spans="1:53">
      <c r="A350" t="s">
        <v>53</v>
      </c>
      <c r="B350" t="s">
        <v>83</v>
      </c>
      <c r="C350" t="s">
        <v>55</v>
      </c>
      <c r="D350" s="4" t="s">
        <v>63</v>
      </c>
      <c r="E350">
        <v>0.082032</v>
      </c>
      <c r="F350">
        <v>6.7</v>
      </c>
      <c r="G350">
        <v>1</v>
      </c>
      <c r="H350">
        <v>17</v>
      </c>
      <c r="I350">
        <v>44</v>
      </c>
      <c r="J350">
        <v>36</v>
      </c>
      <c r="K350">
        <v>20</v>
      </c>
      <c r="L350" t="s">
        <v>57</v>
      </c>
      <c r="M350" t="s">
        <v>58</v>
      </c>
      <c r="N350" t="s">
        <v>87</v>
      </c>
      <c r="O350">
        <v>0.2986023645</v>
      </c>
      <c r="P350">
        <f t="shared" si="13"/>
        <v>3.64007173420129</v>
      </c>
      <c r="Q350">
        <f t="shared" si="12"/>
        <v>1.29200338865262</v>
      </c>
      <c r="R350">
        <v>150</v>
      </c>
      <c r="S350" t="s">
        <v>60</v>
      </c>
      <c r="T350" t="s">
        <v>61</v>
      </c>
      <c r="U350" t="s">
        <v>62</v>
      </c>
      <c r="V350">
        <v>1</v>
      </c>
      <c r="W350">
        <v>0</v>
      </c>
      <c r="X350">
        <v>1</v>
      </c>
      <c r="Y350">
        <v>1</v>
      </c>
      <c r="Z350">
        <v>0</v>
      </c>
      <c r="AA350">
        <v>0</v>
      </c>
      <c r="AB350">
        <v>1</v>
      </c>
      <c r="AC350">
        <v>0</v>
      </c>
      <c r="AD350">
        <v>1</v>
      </c>
      <c r="AE350" s="5">
        <v>12.2120833333333</v>
      </c>
      <c r="AF350" s="5">
        <v>7.00097222222222</v>
      </c>
      <c r="AG350" s="5">
        <v>0.642528075697275</v>
      </c>
      <c r="AH350" s="5">
        <v>16.1176470588235</v>
      </c>
      <c r="AI350" s="5">
        <v>0.459694901747447</v>
      </c>
      <c r="AJ350" s="5">
        <v>-0.280752981483328</v>
      </c>
      <c r="AK350" s="5">
        <v>0.459694901747447</v>
      </c>
      <c r="AL350" s="5">
        <v>0.280752981483328</v>
      </c>
      <c r="AM350" s="5">
        <v>10.1452721658031</v>
      </c>
      <c r="AN350" s="5">
        <v>-0.382289160206052</v>
      </c>
      <c r="AO350" s="5">
        <v>-0.72</v>
      </c>
      <c r="AP350" s="5">
        <v>1212.20967645111</v>
      </c>
      <c r="AQ350" s="5">
        <v>2.16502218725737</v>
      </c>
      <c r="AR350" s="5">
        <v>0</v>
      </c>
      <c r="AS350" s="5">
        <v>0</v>
      </c>
      <c r="AT350" s="5">
        <v>0</v>
      </c>
      <c r="AU350" s="5">
        <v>0</v>
      </c>
      <c r="AV350" s="5">
        <v>0</v>
      </c>
      <c r="AW350" s="5">
        <v>0</v>
      </c>
      <c r="AX350" s="5">
        <v>4.55274987369036</v>
      </c>
      <c r="AY350" s="5">
        <v>-7.13430555555556</v>
      </c>
      <c r="AZ350" s="5">
        <v>1</v>
      </c>
      <c r="BA350" s="5">
        <v>1</v>
      </c>
    </row>
    <row r="351" hidden="1" spans="1:53">
      <c r="A351" t="s">
        <v>53</v>
      </c>
      <c r="B351" t="s">
        <v>83</v>
      </c>
      <c r="C351" t="s">
        <v>55</v>
      </c>
      <c r="D351" s="4" t="s">
        <v>65</v>
      </c>
      <c r="E351">
        <v>0.058594</v>
      </c>
      <c r="F351">
        <v>6.7</v>
      </c>
      <c r="G351">
        <v>1</v>
      </c>
      <c r="H351">
        <v>17</v>
      </c>
      <c r="I351">
        <v>44</v>
      </c>
      <c r="J351">
        <v>36</v>
      </c>
      <c r="K351">
        <v>20</v>
      </c>
      <c r="L351" t="s">
        <v>57</v>
      </c>
      <c r="M351" t="s">
        <v>58</v>
      </c>
      <c r="N351" t="s">
        <v>87</v>
      </c>
      <c r="O351">
        <v>0.207757275</v>
      </c>
      <c r="P351">
        <f t="shared" si="13"/>
        <v>3.54570903164146</v>
      </c>
      <c r="Q351">
        <f t="shared" si="12"/>
        <v>1.26573814891063</v>
      </c>
      <c r="R351">
        <v>150</v>
      </c>
      <c r="S351" t="s">
        <v>60</v>
      </c>
      <c r="T351" t="s">
        <v>61</v>
      </c>
      <c r="U351" t="s">
        <v>62</v>
      </c>
      <c r="V351">
        <v>1</v>
      </c>
      <c r="W351">
        <v>0</v>
      </c>
      <c r="X351">
        <v>1</v>
      </c>
      <c r="Y351">
        <v>1</v>
      </c>
      <c r="Z351">
        <v>0</v>
      </c>
      <c r="AA351">
        <v>0</v>
      </c>
      <c r="AB351">
        <v>1</v>
      </c>
      <c r="AC351">
        <v>0</v>
      </c>
      <c r="AD351">
        <v>1</v>
      </c>
      <c r="AE351" s="5">
        <v>12.6956944444444</v>
      </c>
      <c r="AF351" s="5">
        <v>7.51923752834467</v>
      </c>
      <c r="AG351" s="5">
        <v>0.567423483996869</v>
      </c>
      <c r="AH351" s="5">
        <v>16.6086956521739</v>
      </c>
      <c r="AI351" s="5">
        <v>0.459647303367286</v>
      </c>
      <c r="AJ351" s="5">
        <v>-0.280752999575136</v>
      </c>
      <c r="AK351" s="5">
        <v>0.459647303367286</v>
      </c>
      <c r="AL351" s="5">
        <v>0.280752999575136</v>
      </c>
      <c r="AM351" s="5">
        <v>9.97962409166519</v>
      </c>
      <c r="AN351" s="5">
        <v>-0.433260944725331</v>
      </c>
      <c r="AO351" s="5">
        <v>-1</v>
      </c>
      <c r="AP351" s="5">
        <v>14934.5346948423</v>
      </c>
      <c r="AQ351" s="5">
        <v>2.69882520469918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4.55274987369036</v>
      </c>
      <c r="AY351" s="5">
        <v>-7.5938637329932</v>
      </c>
      <c r="AZ351" s="5">
        <v>1</v>
      </c>
      <c r="BA351" s="5">
        <v>1</v>
      </c>
    </row>
    <row r="352" hidden="1" spans="1:53">
      <c r="A352" t="s">
        <v>53</v>
      </c>
      <c r="B352" t="s">
        <v>83</v>
      </c>
      <c r="C352" t="s">
        <v>55</v>
      </c>
      <c r="D352" s="4" t="s">
        <v>66</v>
      </c>
      <c r="E352">
        <v>0.175781</v>
      </c>
      <c r="F352">
        <v>6.7</v>
      </c>
      <c r="G352">
        <v>1</v>
      </c>
      <c r="H352">
        <v>17</v>
      </c>
      <c r="I352">
        <v>44</v>
      </c>
      <c r="J352">
        <v>36</v>
      </c>
      <c r="K352">
        <v>20</v>
      </c>
      <c r="L352" t="s">
        <v>57</v>
      </c>
      <c r="M352" t="s">
        <v>58</v>
      </c>
      <c r="N352" t="s">
        <v>87</v>
      </c>
      <c r="O352">
        <v>0.807936525</v>
      </c>
      <c r="P352">
        <f t="shared" si="13"/>
        <v>4.596267656914</v>
      </c>
      <c r="Q352">
        <f t="shared" si="12"/>
        <v>1.52524459521726</v>
      </c>
      <c r="R352">
        <v>150</v>
      </c>
      <c r="S352" t="s">
        <v>60</v>
      </c>
      <c r="T352" t="s">
        <v>61</v>
      </c>
      <c r="U352" t="s">
        <v>62</v>
      </c>
      <c r="V352">
        <v>1</v>
      </c>
      <c r="W352">
        <v>0</v>
      </c>
      <c r="X352">
        <v>1</v>
      </c>
      <c r="Y352">
        <v>1</v>
      </c>
      <c r="Z352">
        <v>0</v>
      </c>
      <c r="AA352">
        <v>0</v>
      </c>
      <c r="AB352">
        <v>1</v>
      </c>
      <c r="AC352">
        <v>0</v>
      </c>
      <c r="AD352">
        <v>1</v>
      </c>
      <c r="AE352" s="5">
        <v>12.8254166666667</v>
      </c>
      <c r="AF352" s="5">
        <v>4.27882137345679</v>
      </c>
      <c r="AG352" s="5">
        <v>0.653062667189842</v>
      </c>
      <c r="AH352" s="5">
        <v>16.12</v>
      </c>
      <c r="AI352" s="5">
        <v>0.459647294455008</v>
      </c>
      <c r="AJ352" s="5">
        <v>-0.47662745733429</v>
      </c>
      <c r="AK352" s="5">
        <v>0.47662745733429</v>
      </c>
      <c r="AL352" s="5">
        <v>0.459647294455008</v>
      </c>
      <c r="AM352" s="5">
        <v>9.90907137329749</v>
      </c>
      <c r="AN352" s="5">
        <v>-0.449718247791216</v>
      </c>
      <c r="AO352" s="5">
        <v>-1.58</v>
      </c>
      <c r="AP352" s="5">
        <v>39741.8973369129</v>
      </c>
      <c r="AQ352" s="5">
        <v>2.73920148528388</v>
      </c>
      <c r="AR352" s="5">
        <v>0</v>
      </c>
      <c r="AS352" s="5">
        <v>4.79453718407182</v>
      </c>
      <c r="AT352" s="5">
        <v>0</v>
      </c>
      <c r="AU352" s="5">
        <v>0</v>
      </c>
      <c r="AV352" s="5">
        <v>0</v>
      </c>
      <c r="AW352" s="5">
        <v>0</v>
      </c>
      <c r="AX352" s="5">
        <v>5.10652739484071</v>
      </c>
      <c r="AY352" s="5">
        <v>-7.69383775037793</v>
      </c>
      <c r="AZ352" s="5">
        <v>0.875</v>
      </c>
      <c r="BA352" s="5">
        <v>1</v>
      </c>
    </row>
    <row r="353" hidden="1" spans="1:53">
      <c r="A353" t="s">
        <v>53</v>
      </c>
      <c r="B353" t="s">
        <v>83</v>
      </c>
      <c r="C353" t="s">
        <v>55</v>
      </c>
      <c r="D353" s="4" t="s">
        <v>67</v>
      </c>
      <c r="E353">
        <v>0.0234369999999999</v>
      </c>
      <c r="F353">
        <v>6.7</v>
      </c>
      <c r="G353">
        <v>1</v>
      </c>
      <c r="H353">
        <v>17</v>
      </c>
      <c r="I353">
        <v>44</v>
      </c>
      <c r="J353">
        <v>36</v>
      </c>
      <c r="K353">
        <v>20</v>
      </c>
      <c r="L353" t="s">
        <v>57</v>
      </c>
      <c r="M353" t="s">
        <v>58</v>
      </c>
      <c r="N353" t="s">
        <v>87</v>
      </c>
      <c r="O353">
        <v>1.36205586</v>
      </c>
      <c r="P353">
        <f t="shared" si="13"/>
        <v>58.115623159961</v>
      </c>
      <c r="Q353">
        <f t="shared" si="12"/>
        <v>4.06243452891457</v>
      </c>
      <c r="R353">
        <v>150</v>
      </c>
      <c r="S353" t="s">
        <v>60</v>
      </c>
      <c r="T353" t="s">
        <v>61</v>
      </c>
      <c r="U353" t="s">
        <v>62</v>
      </c>
      <c r="V353">
        <v>1</v>
      </c>
      <c r="W353">
        <v>0</v>
      </c>
      <c r="X353">
        <v>1</v>
      </c>
      <c r="Y353">
        <v>1</v>
      </c>
      <c r="Z353">
        <v>0</v>
      </c>
      <c r="AA353">
        <v>0</v>
      </c>
      <c r="AB353">
        <v>1</v>
      </c>
      <c r="AC353">
        <v>0</v>
      </c>
      <c r="AD353">
        <v>1</v>
      </c>
      <c r="AE353" s="5">
        <v>13.0371419123205</v>
      </c>
      <c r="AF353" s="5">
        <v>7.66829457707096</v>
      </c>
      <c r="AG353" s="5">
        <v>0.402493807679921</v>
      </c>
      <c r="AH353" s="5">
        <v>16.8965517241379</v>
      </c>
      <c r="AI353" s="5">
        <v>0.459647294440031</v>
      </c>
      <c r="AJ353" s="5">
        <v>-0.280752999575314</v>
      </c>
      <c r="AK353" s="5">
        <v>0.459647294440031</v>
      </c>
      <c r="AL353" s="5">
        <v>0.280752999575314</v>
      </c>
      <c r="AM353" s="5">
        <v>9.90856544965598</v>
      </c>
      <c r="AN353" s="5">
        <v>-0.457885273814649</v>
      </c>
      <c r="AO353" s="5">
        <v>-1.28</v>
      </c>
      <c r="AP353" s="5">
        <v>176558.643253875</v>
      </c>
      <c r="AQ353" s="5">
        <v>3.26474212239717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4.55274987369036</v>
      </c>
      <c r="AY353" s="5">
        <v>-7.88274914441085</v>
      </c>
      <c r="AZ353" s="5">
        <v>1</v>
      </c>
      <c r="BA353" s="5">
        <v>1</v>
      </c>
    </row>
    <row r="354" hidden="1" spans="1:53">
      <c r="A354" t="s">
        <v>53</v>
      </c>
      <c r="B354" t="s">
        <v>84</v>
      </c>
      <c r="C354" t="s">
        <v>55</v>
      </c>
      <c r="D354" s="4" t="s">
        <v>63</v>
      </c>
      <c r="E354">
        <v>0.269532</v>
      </c>
      <c r="F354">
        <v>6.7</v>
      </c>
      <c r="G354">
        <v>1</v>
      </c>
      <c r="H354">
        <v>17</v>
      </c>
      <c r="I354">
        <v>44</v>
      </c>
      <c r="J354">
        <v>36</v>
      </c>
      <c r="K354">
        <v>20</v>
      </c>
      <c r="L354" t="s">
        <v>57</v>
      </c>
      <c r="M354" t="s">
        <v>58</v>
      </c>
      <c r="N354" t="s">
        <v>87</v>
      </c>
      <c r="O354">
        <v>0.184292487822</v>
      </c>
      <c r="P354">
        <f t="shared" si="13"/>
        <v>0.683749936267308</v>
      </c>
      <c r="Q354">
        <f t="shared" si="12"/>
        <v>-0.380163018456469</v>
      </c>
      <c r="R354">
        <v>150</v>
      </c>
      <c r="S354" t="s">
        <v>60</v>
      </c>
      <c r="T354" t="s">
        <v>61</v>
      </c>
      <c r="U354" t="s">
        <v>62</v>
      </c>
      <c r="V354">
        <v>1</v>
      </c>
      <c r="W354">
        <v>0</v>
      </c>
      <c r="X354">
        <v>1</v>
      </c>
      <c r="Y354">
        <v>1</v>
      </c>
      <c r="Z354">
        <v>0</v>
      </c>
      <c r="AA354">
        <v>0</v>
      </c>
      <c r="AB354">
        <v>1</v>
      </c>
      <c r="AC354">
        <v>0</v>
      </c>
      <c r="AD354">
        <v>1</v>
      </c>
      <c r="AE354" s="5">
        <v>12.2120833333333</v>
      </c>
      <c r="AF354" s="5">
        <v>7.00097222222222</v>
      </c>
      <c r="AG354" s="5">
        <v>0.642528075697275</v>
      </c>
      <c r="AH354" s="5">
        <v>16.1176470588235</v>
      </c>
      <c r="AI354" s="5">
        <v>0.459694901747447</v>
      </c>
      <c r="AJ354" s="5">
        <v>-0.280752981483328</v>
      </c>
      <c r="AK354" s="5">
        <v>0.459694901747447</v>
      </c>
      <c r="AL354" s="5">
        <v>0.280752981483328</v>
      </c>
      <c r="AM354" s="5">
        <v>10.1452721658031</v>
      </c>
      <c r="AN354" s="5">
        <v>-0.382289160206052</v>
      </c>
      <c r="AO354" s="5">
        <v>-0.72</v>
      </c>
      <c r="AP354" s="5">
        <v>1212.20967645111</v>
      </c>
      <c r="AQ354" s="5">
        <v>2.16502218725737</v>
      </c>
      <c r="AR354" s="5">
        <v>0</v>
      </c>
      <c r="AS354" s="5">
        <v>0</v>
      </c>
      <c r="AT354" s="5">
        <v>0</v>
      </c>
      <c r="AU354" s="5">
        <v>0</v>
      </c>
      <c r="AV354" s="5">
        <v>0</v>
      </c>
      <c r="AW354" s="5">
        <v>0</v>
      </c>
      <c r="AX354" s="5">
        <v>4.55274987369036</v>
      </c>
      <c r="AY354" s="5">
        <v>-7.13430555555556</v>
      </c>
      <c r="AZ354" s="5">
        <v>1</v>
      </c>
      <c r="BA354" s="5">
        <v>1</v>
      </c>
    </row>
    <row r="355" hidden="1" spans="1:53">
      <c r="A355" t="s">
        <v>53</v>
      </c>
      <c r="B355" t="s">
        <v>84</v>
      </c>
      <c r="C355" t="s">
        <v>55</v>
      </c>
      <c r="D355" s="4" t="s">
        <v>65</v>
      </c>
      <c r="E355">
        <v>0.082031</v>
      </c>
      <c r="F355">
        <v>6.7</v>
      </c>
      <c r="G355">
        <v>1</v>
      </c>
      <c r="H355">
        <v>17</v>
      </c>
      <c r="I355">
        <v>44</v>
      </c>
      <c r="J355">
        <v>36</v>
      </c>
      <c r="K355">
        <v>20</v>
      </c>
      <c r="L355" t="s">
        <v>57</v>
      </c>
      <c r="M355" t="s">
        <v>58</v>
      </c>
      <c r="N355" t="s">
        <v>87</v>
      </c>
      <c r="O355">
        <v>0.15872041071</v>
      </c>
      <c r="P355">
        <f t="shared" si="13"/>
        <v>1.93488328449001</v>
      </c>
      <c r="Q355">
        <f t="shared" si="12"/>
        <v>0.660047006569518</v>
      </c>
      <c r="R355">
        <v>150</v>
      </c>
      <c r="S355" t="s">
        <v>60</v>
      </c>
      <c r="T355" t="s">
        <v>61</v>
      </c>
      <c r="U355" t="s">
        <v>62</v>
      </c>
      <c r="V355">
        <v>1</v>
      </c>
      <c r="W355">
        <v>0</v>
      </c>
      <c r="X355">
        <v>1</v>
      </c>
      <c r="Y355">
        <v>1</v>
      </c>
      <c r="Z355">
        <v>0</v>
      </c>
      <c r="AA355">
        <v>0</v>
      </c>
      <c r="AB355">
        <v>1</v>
      </c>
      <c r="AC355">
        <v>0</v>
      </c>
      <c r="AD355">
        <v>1</v>
      </c>
      <c r="AE355" s="5">
        <v>12.6956944444444</v>
      </c>
      <c r="AF355" s="5">
        <v>7.51923752834467</v>
      </c>
      <c r="AG355" s="5">
        <v>0.567423483996869</v>
      </c>
      <c r="AH355" s="5">
        <v>16.6086956521739</v>
      </c>
      <c r="AI355" s="5">
        <v>0.459647303367286</v>
      </c>
      <c r="AJ355" s="5">
        <v>-0.280752999575136</v>
      </c>
      <c r="AK355" s="5">
        <v>0.459647303367286</v>
      </c>
      <c r="AL355" s="5">
        <v>0.280752999575136</v>
      </c>
      <c r="AM355" s="5">
        <v>9.97962409166519</v>
      </c>
      <c r="AN355" s="5">
        <v>-0.433260944725331</v>
      </c>
      <c r="AO355" s="5">
        <v>-1</v>
      </c>
      <c r="AP355" s="5">
        <v>14934.5346948423</v>
      </c>
      <c r="AQ355" s="5">
        <v>2.69882520469918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4.55274987369036</v>
      </c>
      <c r="AY355" s="5">
        <v>-7.5938637329932</v>
      </c>
      <c r="AZ355" s="5">
        <v>1</v>
      </c>
      <c r="BA355" s="5">
        <v>1</v>
      </c>
    </row>
    <row r="356" hidden="1" spans="1:53">
      <c r="A356" t="s">
        <v>53</v>
      </c>
      <c r="B356" t="s">
        <v>84</v>
      </c>
      <c r="C356" t="s">
        <v>55</v>
      </c>
      <c r="D356" s="4" t="s">
        <v>66</v>
      </c>
      <c r="E356">
        <v>0.386719</v>
      </c>
      <c r="F356">
        <v>6.7</v>
      </c>
      <c r="G356">
        <v>1</v>
      </c>
      <c r="H356">
        <v>17</v>
      </c>
      <c r="I356">
        <v>44</v>
      </c>
      <c r="J356">
        <v>36</v>
      </c>
      <c r="K356">
        <v>20</v>
      </c>
      <c r="L356" t="s">
        <v>57</v>
      </c>
      <c r="M356" t="s">
        <v>58</v>
      </c>
      <c r="N356" t="s">
        <v>87</v>
      </c>
      <c r="O356">
        <v>0.48751857144</v>
      </c>
      <c r="P356">
        <f t="shared" si="13"/>
        <v>1.26065326875587</v>
      </c>
      <c r="Q356">
        <f t="shared" si="12"/>
        <v>0.231630053872232</v>
      </c>
      <c r="R356">
        <v>150</v>
      </c>
      <c r="S356" t="s">
        <v>60</v>
      </c>
      <c r="T356" t="s">
        <v>61</v>
      </c>
      <c r="U356" t="s">
        <v>62</v>
      </c>
      <c r="V356">
        <v>1</v>
      </c>
      <c r="W356">
        <v>0</v>
      </c>
      <c r="X356">
        <v>1</v>
      </c>
      <c r="Y356">
        <v>1</v>
      </c>
      <c r="Z356">
        <v>0</v>
      </c>
      <c r="AA356">
        <v>0</v>
      </c>
      <c r="AB356">
        <v>1</v>
      </c>
      <c r="AC356">
        <v>0</v>
      </c>
      <c r="AD356">
        <v>1</v>
      </c>
      <c r="AE356" s="5">
        <v>12.8254166666667</v>
      </c>
      <c r="AF356" s="5">
        <v>4.27882137345679</v>
      </c>
      <c r="AG356" s="5">
        <v>0.653062667189842</v>
      </c>
      <c r="AH356" s="5">
        <v>16.12</v>
      </c>
      <c r="AI356" s="5">
        <v>0.459647294455008</v>
      </c>
      <c r="AJ356" s="5">
        <v>-0.47662745733429</v>
      </c>
      <c r="AK356" s="5">
        <v>0.47662745733429</v>
      </c>
      <c r="AL356" s="5">
        <v>0.459647294455008</v>
      </c>
      <c r="AM356" s="5">
        <v>9.90907137329749</v>
      </c>
      <c r="AN356" s="5">
        <v>-0.449718247791216</v>
      </c>
      <c r="AO356" s="5">
        <v>-1.58</v>
      </c>
      <c r="AP356" s="5">
        <v>39741.8973369129</v>
      </c>
      <c r="AQ356" s="5">
        <v>2.73920148528388</v>
      </c>
      <c r="AR356" s="5">
        <v>0</v>
      </c>
      <c r="AS356" s="5">
        <v>4.79453718407182</v>
      </c>
      <c r="AT356" s="5">
        <v>0</v>
      </c>
      <c r="AU356" s="5">
        <v>0</v>
      </c>
      <c r="AV356" s="5">
        <v>0</v>
      </c>
      <c r="AW356" s="5">
        <v>0</v>
      </c>
      <c r="AX356" s="5">
        <v>5.10652739484071</v>
      </c>
      <c r="AY356" s="5">
        <v>-7.69383775037793</v>
      </c>
      <c r="AZ356" s="5">
        <v>0.875</v>
      </c>
      <c r="BA356" s="5">
        <v>1</v>
      </c>
    </row>
    <row r="357" hidden="1" spans="1:53">
      <c r="A357" t="s">
        <v>53</v>
      </c>
      <c r="B357" t="s">
        <v>84</v>
      </c>
      <c r="C357" t="s">
        <v>55</v>
      </c>
      <c r="D357" s="4" t="s">
        <v>67</v>
      </c>
      <c r="E357">
        <v>0.0234399999999999</v>
      </c>
      <c r="F357">
        <v>6.7</v>
      </c>
      <c r="G357">
        <v>1</v>
      </c>
      <c r="H357">
        <v>17</v>
      </c>
      <c r="I357">
        <v>44</v>
      </c>
      <c r="J357">
        <v>36</v>
      </c>
      <c r="K357">
        <v>20</v>
      </c>
      <c r="L357" t="s">
        <v>57</v>
      </c>
      <c r="M357" t="s">
        <v>58</v>
      </c>
      <c r="N357" t="s">
        <v>87</v>
      </c>
      <c r="O357">
        <v>1.21882982361</v>
      </c>
      <c r="P357">
        <f t="shared" si="13"/>
        <v>51.9978593690275</v>
      </c>
      <c r="Q357">
        <f t="shared" si="12"/>
        <v>3.95120255175384</v>
      </c>
      <c r="R357">
        <v>150</v>
      </c>
      <c r="S357" t="s">
        <v>60</v>
      </c>
      <c r="T357" t="s">
        <v>61</v>
      </c>
      <c r="U357" t="s">
        <v>62</v>
      </c>
      <c r="V357">
        <v>1</v>
      </c>
      <c r="W357">
        <v>0</v>
      </c>
      <c r="X357">
        <v>1</v>
      </c>
      <c r="Y357">
        <v>1</v>
      </c>
      <c r="Z357">
        <v>0</v>
      </c>
      <c r="AA357">
        <v>0</v>
      </c>
      <c r="AB357">
        <v>1</v>
      </c>
      <c r="AC357">
        <v>0</v>
      </c>
      <c r="AD357">
        <v>1</v>
      </c>
      <c r="AE357" s="5">
        <v>13.0371419123205</v>
      </c>
      <c r="AF357" s="5">
        <v>7.66829457707096</v>
      </c>
      <c r="AG357" s="5">
        <v>0.402493807679921</v>
      </c>
      <c r="AH357" s="5">
        <v>16.8965517241379</v>
      </c>
      <c r="AI357" s="5">
        <v>0.459647294440031</v>
      </c>
      <c r="AJ357" s="5">
        <v>-0.280752999575314</v>
      </c>
      <c r="AK357" s="5">
        <v>0.459647294440031</v>
      </c>
      <c r="AL357" s="5">
        <v>0.280752999575314</v>
      </c>
      <c r="AM357" s="5">
        <v>9.90856544965598</v>
      </c>
      <c r="AN357" s="5">
        <v>-0.457885273814649</v>
      </c>
      <c r="AO357" s="5">
        <v>-1.28</v>
      </c>
      <c r="AP357" s="5">
        <v>176558.643253875</v>
      </c>
      <c r="AQ357" s="5">
        <v>3.26474212239717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4.55274987369036</v>
      </c>
      <c r="AY357" s="5">
        <v>-7.88274914441085</v>
      </c>
      <c r="AZ357" s="5">
        <v>1</v>
      </c>
      <c r="BA357" s="5">
        <v>1</v>
      </c>
    </row>
    <row r="358" hidden="1" spans="1:53">
      <c r="A358" t="s">
        <v>53</v>
      </c>
      <c r="B358" t="s">
        <v>84</v>
      </c>
      <c r="C358" t="s">
        <v>55</v>
      </c>
      <c r="D358" s="4" t="s">
        <v>68</v>
      </c>
      <c r="E358">
        <v>0.03515</v>
      </c>
      <c r="F358">
        <v>6.7</v>
      </c>
      <c r="G358">
        <v>1</v>
      </c>
      <c r="H358">
        <v>17</v>
      </c>
      <c r="I358">
        <v>44</v>
      </c>
      <c r="J358">
        <v>36</v>
      </c>
      <c r="K358">
        <v>20</v>
      </c>
      <c r="L358" t="s">
        <v>57</v>
      </c>
      <c r="M358" t="s">
        <v>58</v>
      </c>
      <c r="N358" t="s">
        <v>87</v>
      </c>
      <c r="O358">
        <v>0.7681763073</v>
      </c>
      <c r="P358">
        <f t="shared" si="13"/>
        <v>21.8542334935989</v>
      </c>
      <c r="Q358">
        <f t="shared" si="12"/>
        <v>3.08439465534145</v>
      </c>
      <c r="R358">
        <v>150</v>
      </c>
      <c r="S358" t="s">
        <v>60</v>
      </c>
      <c r="T358" t="s">
        <v>61</v>
      </c>
      <c r="U358" t="s">
        <v>62</v>
      </c>
      <c r="V358">
        <v>1</v>
      </c>
      <c r="W358">
        <v>0</v>
      </c>
      <c r="X358">
        <v>1</v>
      </c>
      <c r="Y358">
        <v>1</v>
      </c>
      <c r="Z358">
        <v>0</v>
      </c>
      <c r="AA358">
        <v>0</v>
      </c>
      <c r="AB358">
        <v>1</v>
      </c>
      <c r="AC358">
        <v>0</v>
      </c>
      <c r="AD358">
        <v>1</v>
      </c>
      <c r="AE358" s="5">
        <v>12.1252083333333</v>
      </c>
      <c r="AF358" s="5">
        <v>3.79034722222222</v>
      </c>
      <c r="AG358" s="5">
        <v>0.795108310685598</v>
      </c>
      <c r="AH358" s="5">
        <v>15.0625</v>
      </c>
      <c r="AI358" s="5">
        <v>0.459665733935349</v>
      </c>
      <c r="AJ358" s="5">
        <v>-0.476627440416371</v>
      </c>
      <c r="AK358" s="5">
        <v>0.476627440416371</v>
      </c>
      <c r="AL358" s="5">
        <v>0.459665733935349</v>
      </c>
      <c r="AM358" s="5">
        <v>10.044436145131</v>
      </c>
      <c r="AN358" s="5">
        <v>-0.389909625311938</v>
      </c>
      <c r="AO358" s="5">
        <v>-1.16</v>
      </c>
      <c r="AP358" s="5">
        <v>939.726830541714</v>
      </c>
      <c r="AQ358" s="5">
        <v>1.77550667912426</v>
      </c>
      <c r="AR358" s="5">
        <v>0</v>
      </c>
      <c r="AS358" s="5">
        <v>4.79453718407182</v>
      </c>
      <c r="AT358" s="5">
        <v>0</v>
      </c>
      <c r="AU358" s="5">
        <v>0</v>
      </c>
      <c r="AV358" s="5">
        <v>0</v>
      </c>
      <c r="AW358" s="5">
        <v>0</v>
      </c>
      <c r="AX358" s="5">
        <v>5.10652739484071</v>
      </c>
      <c r="AY358" s="5">
        <v>-7.00458333333333</v>
      </c>
      <c r="AZ358" s="5">
        <v>0.8</v>
      </c>
      <c r="BA358" s="5">
        <v>1</v>
      </c>
    </row>
  </sheetData>
  <autoFilter xmlns:etc="http://www.wps.cn/officeDocument/2017/etCustomData" ref="A1:BA358" etc:filterBottomFollowUsedRange="0">
    <filterColumn colId="13">
      <filters>
        <filter val="shoot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76"/>
  <sheetViews>
    <sheetView topLeftCell="A40" workbookViewId="0">
      <pane xSplit="1" topLeftCell="B1" activePane="topRight" state="frozen"/>
      <selection/>
      <selection pane="topRight" activeCell="B60" sqref="B60:H60"/>
    </sheetView>
  </sheetViews>
  <sheetFormatPr defaultColWidth="9" defaultRowHeight="14"/>
  <cols>
    <col min="2" max="8" width="12.8181818181818"/>
    <col min="11" max="17" width="12.8181818181818"/>
    <col min="20" max="26" width="12.8181818181818"/>
    <col min="29" max="35" width="12.8181818181818"/>
  </cols>
  <sheetData>
    <row r="1" spans="1:35">
      <c r="A1" t="s">
        <v>88</v>
      </c>
      <c r="B1" t="s">
        <v>56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J1" t="s">
        <v>89</v>
      </c>
      <c r="K1" t="s">
        <v>56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S1" t="s">
        <v>90</v>
      </c>
      <c r="T1" t="s">
        <v>56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B1" t="s">
        <v>91</v>
      </c>
      <c r="AC1" t="s">
        <v>56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</row>
    <row r="2" spans="1:35">
      <c r="A2" t="s">
        <v>92</v>
      </c>
      <c r="B2">
        <v>13.9057</v>
      </c>
      <c r="C2">
        <f>22.9746-13.9057</f>
        <v>9.0689</v>
      </c>
      <c r="D2">
        <f>29.0206-22.9746</f>
        <v>6.046</v>
      </c>
      <c r="E2">
        <f>33.4946-29.0206</f>
        <v>4.474</v>
      </c>
      <c r="F2">
        <f>51.0278-33.4946</f>
        <v>17.5332</v>
      </c>
      <c r="G2">
        <f>81.0157-51.0278</f>
        <v>29.9879</v>
      </c>
      <c r="H2">
        <f>100-81.0157</f>
        <v>18.9843</v>
      </c>
      <c r="K2">
        <v>12.3337</v>
      </c>
      <c r="L2">
        <f>18.3797-12.3337</f>
        <v>6.046</v>
      </c>
      <c r="M2">
        <f>22.9746-18.3797</f>
        <v>4.5949</v>
      </c>
      <c r="N2">
        <f>27.2068-22.9746</f>
        <v>4.2322</v>
      </c>
      <c r="O2">
        <f>44.9819-27.2068</f>
        <v>17.7751</v>
      </c>
      <c r="P2">
        <f>77.9927-44.9819</f>
        <v>33.0108</v>
      </c>
      <c r="Q2">
        <f>100-77.9927</f>
        <v>22.0073</v>
      </c>
      <c r="T2">
        <v>83.5901</v>
      </c>
      <c r="U2">
        <f>85.4161-83.5901</f>
        <v>1.82599999999999</v>
      </c>
      <c r="V2">
        <f>86.3882-85.4161</f>
        <v>0.972099999999998</v>
      </c>
      <c r="W2">
        <f>87.239-86.3882</f>
        <v>0.850800000000007</v>
      </c>
      <c r="X2">
        <f>90.8886-87.239</f>
        <v>3.64959999999999</v>
      </c>
      <c r="Y2">
        <f>96.1186-90.8886</f>
        <v>5.23</v>
      </c>
      <c r="Z2">
        <f>100-96.1186</f>
        <v>3.8814</v>
      </c>
      <c r="AC2">
        <v>37.2744</v>
      </c>
      <c r="AD2">
        <f>39.4641-37.2744</f>
        <v>2.1897</v>
      </c>
      <c r="AE2">
        <f>42.1398-39.4641</f>
        <v>2.6757</v>
      </c>
      <c r="AF2">
        <f>44.5729-42.1398</f>
        <v>2.4331</v>
      </c>
      <c r="AG2">
        <f>72.9164-44.5729</f>
        <v>28.3435</v>
      </c>
      <c r="AH2">
        <f>90.1914-72.9164</f>
        <v>17.275</v>
      </c>
      <c r="AI2">
        <f>100-90.1914</f>
        <v>9.8086</v>
      </c>
    </row>
    <row r="3" spans="1:35">
      <c r="A3" t="s">
        <v>93</v>
      </c>
      <c r="B3">
        <v>24.7884</v>
      </c>
      <c r="C3">
        <f>32.6481-24.7884</f>
        <v>7.8597</v>
      </c>
      <c r="D3">
        <f>36.5175-32.6481</f>
        <v>3.8694</v>
      </c>
      <c r="E3">
        <f>40.7497-36.5175</f>
        <v>4.2322</v>
      </c>
      <c r="F3">
        <f>56.8319-40.7497</f>
        <v>16.0822</v>
      </c>
      <c r="G3">
        <f>81.8622-56.8319</f>
        <v>25.0303</v>
      </c>
      <c r="H3">
        <f>100-81.8622</f>
        <v>18.1378</v>
      </c>
      <c r="L3">
        <v>6.04595</v>
      </c>
      <c r="M3">
        <f>12.3337-6.04595</f>
        <v>6.28775</v>
      </c>
      <c r="N3">
        <f>18.7424-12.3337</f>
        <v>6.4087</v>
      </c>
      <c r="O3">
        <f>38.0895-18.7424</f>
        <v>19.3471</v>
      </c>
      <c r="P3">
        <f>73.3978-38.0895</f>
        <v>35.3083</v>
      </c>
      <c r="Q3">
        <f>100-73.3978</f>
        <v>26.6022</v>
      </c>
      <c r="T3">
        <v>82.7635</v>
      </c>
      <c r="U3">
        <f>87.873-82.7635</f>
        <v>5.10950000000001</v>
      </c>
      <c r="V3">
        <f>89.6971-87.873</f>
        <v>1.8241</v>
      </c>
      <c r="W3">
        <f>90.3073-89.6971</f>
        <v>0.610199999999992</v>
      </c>
      <c r="X3">
        <f>92.7423-90.3073</f>
        <v>2.435</v>
      </c>
      <c r="Y3">
        <f>96.999-92.7423</f>
        <v>4.2567</v>
      </c>
      <c r="Z3">
        <f>100-96.999</f>
        <v>3.001</v>
      </c>
      <c r="AC3">
        <v>52.5054</v>
      </c>
      <c r="AD3">
        <f>55.3035-52.5054</f>
        <v>2.7981</v>
      </c>
      <c r="AE3">
        <f>58.3437-55.3035</f>
        <v>3.0402</v>
      </c>
      <c r="AF3">
        <f>61.0193-58.3437</f>
        <v>2.6756</v>
      </c>
      <c r="AG3">
        <f>69.9039-61.0193</f>
        <v>8.88459999999999</v>
      </c>
      <c r="AH3">
        <f>88.3935-69.9039</f>
        <v>18.4896</v>
      </c>
      <c r="AI3">
        <f>100-88.3935</f>
        <v>11.6065</v>
      </c>
    </row>
    <row r="4" spans="1:35">
      <c r="A4" t="s">
        <v>94</v>
      </c>
      <c r="C4">
        <v>10.8827</v>
      </c>
      <c r="D4">
        <f>16.5659-10.8827</f>
        <v>5.6832</v>
      </c>
      <c r="E4">
        <f>21.7654-16.5659</f>
        <v>5.1995</v>
      </c>
      <c r="F4">
        <f>44.74+21.7654</f>
        <v>66.5054</v>
      </c>
      <c r="G4">
        <f>75.5744-44.74</f>
        <v>30.8344</v>
      </c>
      <c r="H4">
        <f>100-75.5744</f>
        <v>24.4256</v>
      </c>
      <c r="M4">
        <v>6.65054</v>
      </c>
      <c r="N4">
        <f>12.6965-6.65054</f>
        <v>6.04596</v>
      </c>
      <c r="O4">
        <f>35.3083-12.6965</f>
        <v>22.6118</v>
      </c>
      <c r="P4">
        <f>74.0024-35.3083</f>
        <v>38.6941</v>
      </c>
      <c r="Q4">
        <f>100-74.0024</f>
        <v>25.9976</v>
      </c>
      <c r="T4">
        <v>76.9541</v>
      </c>
      <c r="U4">
        <f>81.8172-76.9541</f>
        <v>4.8631</v>
      </c>
      <c r="V4">
        <f>84.2495-81.8172</f>
        <v>2.4323</v>
      </c>
      <c r="W4">
        <f>85.2228-84.2495</f>
        <v>0.973300000000009</v>
      </c>
      <c r="X4">
        <f>89.1165-85.2228</f>
        <v>3.8937</v>
      </c>
      <c r="Y4">
        <f>95.5623-89.1165</f>
        <v>6.44579999999999</v>
      </c>
      <c r="Z4">
        <f>100-95.5623</f>
        <v>4.43770000000001</v>
      </c>
      <c r="AD4">
        <v>4.84377</v>
      </c>
      <c r="AE4">
        <f>10.9284-4.84377</f>
        <v>6.08463</v>
      </c>
      <c r="AF4">
        <f>15.7927-10.9284</f>
        <v>4.8643</v>
      </c>
      <c r="AG4">
        <f>34.2842-15.7927</f>
        <v>18.4915</v>
      </c>
      <c r="AH4">
        <f>74.1868-34.2842</f>
        <v>39.9026</v>
      </c>
      <c r="AI4">
        <f>100-74.1868</f>
        <v>25.8132</v>
      </c>
    </row>
    <row r="5" spans="1:35">
      <c r="A5" t="s">
        <v>95</v>
      </c>
      <c r="B5">
        <v>15.9613</v>
      </c>
      <c r="C5">
        <f>38.3313-15.9613</f>
        <v>22.37</v>
      </c>
      <c r="D5">
        <f>42.9262-38.3313</f>
        <v>4.5949</v>
      </c>
      <c r="E5">
        <f>46.7956-42.9262</f>
        <v>3.8694</v>
      </c>
      <c r="F5">
        <f>62.5151-46.7956</f>
        <v>15.7195</v>
      </c>
      <c r="G5">
        <f>89.1173-62.5151</f>
        <v>26.6022</v>
      </c>
      <c r="H5">
        <f>100-89.1173</f>
        <v>10.8827</v>
      </c>
      <c r="K5">
        <v>16.5659</v>
      </c>
      <c r="M5">
        <f>22.0073-16.5659</f>
        <v>5.4414</v>
      </c>
      <c r="N5">
        <f>27.8114-22.0073</f>
        <v>5.8041</v>
      </c>
      <c r="O5">
        <f>44.9819-27.8114</f>
        <v>17.1705</v>
      </c>
      <c r="P5">
        <f>77.9927-44.9819</f>
        <v>33.0108</v>
      </c>
      <c r="Q5">
        <f>100-77.9927</f>
        <v>22.0073</v>
      </c>
      <c r="T5">
        <v>83.0638</v>
      </c>
      <c r="U5">
        <f>91.3344-83.0638</f>
        <v>8.2706</v>
      </c>
      <c r="V5">
        <f>92.5497-91.3344</f>
        <v>1.2153</v>
      </c>
      <c r="W5">
        <f>93.1611-92.5497</f>
        <v>0.611400000000003</v>
      </c>
      <c r="X5">
        <f>94.8967-93.1611</f>
        <v>1.73559999999999</v>
      </c>
      <c r="Y5">
        <f>97.6604-94.9867</f>
        <v>2.6737</v>
      </c>
      <c r="Z5">
        <f>100-97.6604</f>
        <v>2.3396</v>
      </c>
      <c r="AC5">
        <v>69.589</v>
      </c>
      <c r="AD5">
        <f>71.7776-69.589</f>
        <v>2.18860000000001</v>
      </c>
      <c r="AE5">
        <f>73.8469-71.7776</f>
        <v>2.0693</v>
      </c>
      <c r="AF5">
        <f>75.6705-73.8469</f>
        <v>1.8236</v>
      </c>
      <c r="AG5">
        <f>81.7544-75.6705</f>
        <v>6.0839</v>
      </c>
      <c r="AH5">
        <f>93.0664-81.7544</f>
        <v>11.312</v>
      </c>
      <c r="AI5">
        <f>100-93.0664</f>
        <v>6.9336</v>
      </c>
    </row>
    <row r="6" spans="1:35">
      <c r="A6" t="s">
        <v>96</v>
      </c>
      <c r="B6">
        <v>21.7654</v>
      </c>
      <c r="C6">
        <f>33.4946-21.7654</f>
        <v>11.7292</v>
      </c>
      <c r="D6">
        <f>37.1221-33.4946</f>
        <v>3.6275</v>
      </c>
      <c r="E6">
        <f>41.9589-37.1221</f>
        <v>4.8368</v>
      </c>
      <c r="F6">
        <f>58.8875-41.9589</f>
        <v>16.9286</v>
      </c>
      <c r="G6">
        <f>81.6203-58.8875</f>
        <v>22.7328</v>
      </c>
      <c r="H6">
        <f>100-81.6203</f>
        <v>18.3797</v>
      </c>
      <c r="K6">
        <v>24.1838</v>
      </c>
      <c r="M6">
        <f>29.0206-24.1838</f>
        <v>4.8368</v>
      </c>
      <c r="N6">
        <f>34.0992-29.0206</f>
        <v>5.0786</v>
      </c>
      <c r="O6">
        <f>51.9952-34.0992</f>
        <v>17.896</v>
      </c>
      <c r="P6">
        <f>78.2346-51.9952</f>
        <v>26.2394</v>
      </c>
      <c r="Q6">
        <f>100-78.2346</f>
        <v>21.7654</v>
      </c>
      <c r="T6">
        <v>64.5961</v>
      </c>
      <c r="U6">
        <f>73.9655-64.5961</f>
        <v>9.3694</v>
      </c>
      <c r="V6">
        <f>78.5856-73.9655</f>
        <v>4.62009999999999</v>
      </c>
      <c r="W6">
        <f>80.0443-78.5856</f>
        <v>1.45870000000001</v>
      </c>
      <c r="X6">
        <f>85.8838-80.0443</f>
        <v>5.83949999999999</v>
      </c>
      <c r="Y6">
        <f>92.82-85.8838</f>
        <v>6.9362</v>
      </c>
      <c r="Z6">
        <f>100-92.82</f>
        <v>7.18000000000001</v>
      </c>
      <c r="AD6">
        <v>5.74998</v>
      </c>
      <c r="AE6">
        <f>14.6288-5.74998</f>
        <v>8.87882</v>
      </c>
      <c r="AF6">
        <f>20.1014-14.6288</f>
        <v>5.4726</v>
      </c>
      <c r="AG6">
        <f>41.029-20.1014</f>
        <v>20.9276</v>
      </c>
      <c r="AH6">
        <f>76.6738-41.029</f>
        <v>35.6448</v>
      </c>
      <c r="AI6">
        <f>100-76.6738</f>
        <v>23.3262</v>
      </c>
    </row>
    <row r="7" spans="1:35">
      <c r="A7" t="s">
        <v>97</v>
      </c>
      <c r="D7">
        <v>7.25514</v>
      </c>
      <c r="E7">
        <f>13.5429-7.25514</f>
        <v>6.28776</v>
      </c>
      <c r="F7">
        <f>43.1681-13.5429</f>
        <v>29.6252</v>
      </c>
      <c r="G7">
        <f>88.2709-43.1681</f>
        <v>45.1028</v>
      </c>
      <c r="H7">
        <f>100-88.2709</f>
        <v>11.7291</v>
      </c>
      <c r="L7">
        <v>5.0786</v>
      </c>
      <c r="M7">
        <f>12.0919-5.0786</f>
        <v>7.0133</v>
      </c>
      <c r="N7">
        <f>15.7195-12.0919</f>
        <v>3.6276</v>
      </c>
      <c r="O7">
        <f>36.5175-15.7195</f>
        <v>20.798</v>
      </c>
      <c r="P7">
        <f>74.9698-36.5175</f>
        <v>38.4523</v>
      </c>
      <c r="Q7">
        <f>100-74.9698</f>
        <v>25.0302</v>
      </c>
      <c r="T7">
        <v>45.4028</v>
      </c>
      <c r="U7">
        <f>46.376-45.4028</f>
        <v>0.973199999999999</v>
      </c>
      <c r="V7">
        <f>52.4595-46.376</f>
        <v>6.0835</v>
      </c>
      <c r="W7">
        <f>55.134-52.4595</f>
        <v>2.6745</v>
      </c>
      <c r="X7">
        <f>67.0562-55.134</f>
        <v>11.9222</v>
      </c>
      <c r="Y7">
        <f>84.6991-67.0562</f>
        <v>17.6429</v>
      </c>
      <c r="Z7">
        <f>100-84.6991</f>
        <v>15.3009</v>
      </c>
      <c r="AD7">
        <v>3.70878</v>
      </c>
      <c r="AE7">
        <f>9.79074-3.70878</f>
        <v>6.08196</v>
      </c>
      <c r="AF7">
        <f>15.2652-9.79074</f>
        <v>5.47446</v>
      </c>
      <c r="AG7">
        <f>34.9732-15.2652</f>
        <v>19.708</v>
      </c>
      <c r="AH7">
        <f>77.5542-34.9732</f>
        <v>42.581</v>
      </c>
      <c r="AI7">
        <f>100-77.5542</f>
        <v>22.4458</v>
      </c>
    </row>
    <row r="8" spans="1:35">
      <c r="A8" t="s">
        <v>98</v>
      </c>
      <c r="C8">
        <v>9.06892</v>
      </c>
      <c r="D8">
        <f>14.1475-9.06892</f>
        <v>5.07858</v>
      </c>
      <c r="E8">
        <f>18.7424-14.1475</f>
        <v>4.5949</v>
      </c>
      <c r="F8">
        <f>40.1451-18.7424</f>
        <v>21.4027</v>
      </c>
      <c r="G8">
        <f>75.5744-40.1451</f>
        <v>35.4293</v>
      </c>
      <c r="H8">
        <f>100-75.5744</f>
        <v>24.4256</v>
      </c>
      <c r="L8">
        <v>5.0786</v>
      </c>
      <c r="M8">
        <f>10.52-5.0786</f>
        <v>5.4414</v>
      </c>
      <c r="N8">
        <f>15.9613-10.52</f>
        <v>5.4413</v>
      </c>
      <c r="O8">
        <f>37.7267-15.9613</f>
        <v>21.7654</v>
      </c>
      <c r="P8">
        <f>74.9698</f>
        <v>74.9698</v>
      </c>
      <c r="Q8">
        <f>100-74.9698</f>
        <v>25.0302</v>
      </c>
      <c r="T8">
        <v>76.8154</v>
      </c>
      <c r="U8">
        <f>79.8568-76.8154</f>
        <v>3.04140000000001</v>
      </c>
      <c r="V8">
        <f>82.288-79.8568</f>
        <v>2.43119999999999</v>
      </c>
      <c r="W8">
        <f>83.749-82.288</f>
        <v>1.461</v>
      </c>
      <c r="X8">
        <f>88.0077-83.749</f>
        <v>4.2587</v>
      </c>
      <c r="Y8">
        <f>94.6979-88.0077</f>
        <v>6.6902</v>
      </c>
      <c r="Z8">
        <f>100-94.6979</f>
        <v>5.3021</v>
      </c>
      <c r="AD8">
        <v>4.94956</v>
      </c>
      <c r="AE8">
        <f>11.6425-4.94956</f>
        <v>6.69294</v>
      </c>
      <c r="AF8">
        <f>18.5768-11.6425</f>
        <v>6.9343</v>
      </c>
      <c r="AG8">
        <f>37.1888-18.5768</f>
        <v>18.612</v>
      </c>
      <c r="AH8">
        <f>77.3367-37.1888</f>
        <v>40.1479</v>
      </c>
      <c r="AI8">
        <f>100-77.3367</f>
        <v>22.6633</v>
      </c>
    </row>
    <row r="9" spans="1:35">
      <c r="A9" t="s">
        <v>99</v>
      </c>
      <c r="C9">
        <v>12.3337</v>
      </c>
      <c r="D9">
        <f>17.7751-12.3337</f>
        <v>5.4414</v>
      </c>
      <c r="E9">
        <f>21.7654-17.7751</f>
        <v>3.9903</v>
      </c>
      <c r="F9">
        <f>42.5635-21.7654</f>
        <v>20.7981</v>
      </c>
      <c r="G9">
        <f>77.0254-42.5635</f>
        <v>34.4619</v>
      </c>
      <c r="H9">
        <f>100-77.0254</f>
        <v>22.9746</v>
      </c>
      <c r="K9">
        <v>1.81378</v>
      </c>
      <c r="L9">
        <f>7.85973-1.81378</f>
        <v>6.04595</v>
      </c>
      <c r="M9">
        <f>15.1149-7.85973</f>
        <v>7.25517</v>
      </c>
      <c r="N9">
        <f>19.5889-15.1149</f>
        <v>4.474</v>
      </c>
      <c r="O9">
        <f>39.5405-19.5889</f>
        <v>19.9516</v>
      </c>
      <c r="P9">
        <f>72.1886-39.5405</f>
        <v>32.6481</v>
      </c>
      <c r="Q9">
        <f>95.526-72.1886</f>
        <v>23.3374</v>
      </c>
      <c r="T9">
        <v>84.3842</v>
      </c>
      <c r="U9">
        <f>86.5728-84.3842</f>
        <v>2.18859999999999</v>
      </c>
      <c r="V9">
        <f>88.4007-86.5728</f>
        <v>1.8279</v>
      </c>
      <c r="W9">
        <f>89.009-88.4007</f>
        <v>0.6083</v>
      </c>
      <c r="X9">
        <f>92.0503-89.009</f>
        <v>3.04129999999999</v>
      </c>
      <c r="Y9">
        <f>96.3082-92.0503</f>
        <v>4.25790000000001</v>
      </c>
      <c r="Z9">
        <f>100-96.3082</f>
        <v>3.6918</v>
      </c>
      <c r="AD9">
        <v>4.97649</v>
      </c>
      <c r="AE9">
        <f>11.3025-4.97649</f>
        <v>6.32601</v>
      </c>
      <c r="AF9">
        <f>16.1706-11.3025</f>
        <v>4.8681</v>
      </c>
      <c r="AG9">
        <f>31.3763-16.1706</f>
        <v>15.2057</v>
      </c>
      <c r="AH9">
        <f>74.5629-31.3763</f>
        <v>43.1866</v>
      </c>
      <c r="AI9">
        <f>98.8926-74.5629</f>
        <v>24.3297</v>
      </c>
    </row>
    <row r="10" spans="1:35">
      <c r="A10" t="s">
        <v>100</v>
      </c>
      <c r="C10">
        <v>19.347</v>
      </c>
      <c r="D10">
        <f>25.0302-19.347</f>
        <v>5.6832</v>
      </c>
      <c r="E10">
        <f>29.6252-25.0302</f>
        <v>4.595</v>
      </c>
      <c r="F10">
        <f>49.5768-29.6252</f>
        <v>19.9516</v>
      </c>
      <c r="G10">
        <f>79.4438-49.5768</f>
        <v>29.867</v>
      </c>
      <c r="H10">
        <f>100-79.4438</f>
        <v>20.5562</v>
      </c>
      <c r="M10">
        <v>6.89238</v>
      </c>
      <c r="N10">
        <f>14.1475-6.89238</f>
        <v>7.25512</v>
      </c>
      <c r="O10">
        <f>34.4619-14.1475</f>
        <v>20.3144</v>
      </c>
      <c r="P10">
        <f>72.7932-34.4619</f>
        <v>38.3313</v>
      </c>
      <c r="Q10">
        <f>100-72.7932</f>
        <v>27.2068</v>
      </c>
      <c r="T10">
        <v>52.1746</v>
      </c>
      <c r="U10">
        <f>64.9483-52.1746</f>
        <v>12.7737</v>
      </c>
      <c r="V10">
        <f>72.8547-64.9483</f>
        <v>7.90639999999999</v>
      </c>
      <c r="W10">
        <f>75.0456-72.8547</f>
        <v>2.1909</v>
      </c>
      <c r="X10">
        <f>81.3697-75.0456</f>
        <v>6.3241</v>
      </c>
      <c r="Y10">
        <f>91.7104-81.3697</f>
        <v>10.3407</v>
      </c>
      <c r="Z10">
        <f>100-91.7104</f>
        <v>8.28959999999999</v>
      </c>
      <c r="AD10">
        <v>5.60976</v>
      </c>
      <c r="AE10">
        <f>12.911-5.60976</f>
        <v>7.30124</v>
      </c>
      <c r="AF10">
        <f>18.9925-12.911</f>
        <v>6.0815</v>
      </c>
      <c r="AG10">
        <f>37.2445-18.9925</f>
        <v>18.252</v>
      </c>
      <c r="AH10">
        <f>74.9555-37.2445</f>
        <v>37.711</v>
      </c>
      <c r="AI10">
        <f>99.2857-74.9555</f>
        <v>24.3302</v>
      </c>
    </row>
    <row r="11" spans="1:35">
      <c r="A11" t="s">
        <v>101</v>
      </c>
      <c r="C11">
        <v>9.06892</v>
      </c>
      <c r="D11">
        <f>16.9287-9.06892</f>
        <v>7.85978</v>
      </c>
      <c r="E11">
        <f>22.6119-16.9287</f>
        <v>5.6832</v>
      </c>
      <c r="F11">
        <f>45.9492-22.6119</f>
        <v>23.3373</v>
      </c>
      <c r="G11">
        <f>80.0484-45.9492</f>
        <v>34.0992</v>
      </c>
      <c r="H11">
        <f>100-80.0484</f>
        <v>19.9516</v>
      </c>
      <c r="L11">
        <v>6.89238</v>
      </c>
      <c r="M11">
        <f>14.1475-6.89238</f>
        <v>7.25512</v>
      </c>
      <c r="N11">
        <f>19.9516-14.1475</f>
        <v>5.8041</v>
      </c>
      <c r="O11">
        <f>41.717-19.9516</f>
        <v>21.7654</v>
      </c>
      <c r="P11">
        <f>78.8392-41.717</f>
        <v>37.1222</v>
      </c>
      <c r="Q11">
        <f>100-78.8392</f>
        <v>21.1608</v>
      </c>
      <c r="T11">
        <v>76.286</v>
      </c>
      <c r="U11">
        <f>80.7892-76.286</f>
        <v>4.50319999999999</v>
      </c>
      <c r="V11">
        <f>83.2253-80.7892</f>
        <v>2.43610000000001</v>
      </c>
      <c r="W11">
        <f>84.8057-83.2253</f>
        <v>1.5804</v>
      </c>
      <c r="X11">
        <f>88.6986-84.8057</f>
        <v>3.8929</v>
      </c>
      <c r="Y11">
        <f>95.7519-88.6986</f>
        <v>7.05330000000001</v>
      </c>
      <c r="Z11">
        <f>100-95.7519</f>
        <v>4.24809999999999</v>
      </c>
      <c r="AC11">
        <v>10.5048</v>
      </c>
      <c r="AD11">
        <f>17.4391-10.5048</f>
        <v>6.9343</v>
      </c>
      <c r="AE11">
        <f>25.3466-17.4391</f>
        <v>7.9075</v>
      </c>
      <c r="AF11">
        <f>30.2147-25.3466</f>
        <v>4.8681</v>
      </c>
      <c r="AG11">
        <f>50.0444-30.2147</f>
        <v>19.8297</v>
      </c>
      <c r="AH11">
        <f>80.7014-50.0444</f>
        <v>30.657</v>
      </c>
      <c r="AI11">
        <f>99.9216-80.7014</f>
        <v>19.2202</v>
      </c>
    </row>
    <row r="12" spans="1:35">
      <c r="A12" t="s">
        <v>102</v>
      </c>
      <c r="C12">
        <v>14.5103</v>
      </c>
      <c r="D12">
        <f>19.9516-14.5103</f>
        <v>5.4413</v>
      </c>
      <c r="E12">
        <f>24.4256-19.9516</f>
        <v>4.474</v>
      </c>
      <c r="F12">
        <f>44.1354-24.4256</f>
        <v>19.7098</v>
      </c>
      <c r="G12">
        <f>77.3881-44.1354</f>
        <v>33.2527</v>
      </c>
      <c r="H12">
        <f>100-77.3881</f>
        <v>22.6119</v>
      </c>
      <c r="L12">
        <v>8.10157</v>
      </c>
      <c r="M12">
        <f>13.3011-8.10157</f>
        <v>5.19953</v>
      </c>
      <c r="N12">
        <f>17.7751-13.3011</f>
        <v>4.474</v>
      </c>
      <c r="O12">
        <f>37.7267-17.7751</f>
        <v>19.9516</v>
      </c>
      <c r="P12">
        <f>76.7836-37.7267</f>
        <v>39.0569</v>
      </c>
      <c r="Q12">
        <f>100-76.7836</f>
        <v>23.2164</v>
      </c>
      <c r="T12">
        <v>63.5412</v>
      </c>
      <c r="U12">
        <f>66.8278-63.5412</f>
        <v>3.28659999999999</v>
      </c>
      <c r="V12">
        <f>70.2333-66.8278</f>
        <v>3.4055</v>
      </c>
      <c r="W12">
        <f>71.4468-70.2333</f>
        <v>1.2135</v>
      </c>
      <c r="X12">
        <f>79.3555-71.4468</f>
        <v>7.90870000000001</v>
      </c>
      <c r="Y12">
        <f>91.5228-79.3555</f>
        <v>12.1673</v>
      </c>
      <c r="Z12">
        <f>100-91.5228</f>
        <v>8.4772</v>
      </c>
      <c r="AD12">
        <v>7.73444</v>
      </c>
      <c r="AE12">
        <f>15.3987-7.73444</f>
        <v>7.66426</v>
      </c>
      <c r="AF12">
        <f>21.4806-15.3987</f>
        <v>6.0819</v>
      </c>
      <c r="AG12">
        <f>41.5525-21.4806</f>
        <v>20.0719</v>
      </c>
      <c r="AH12">
        <f>78.0488-41.5525</f>
        <v>36.4963</v>
      </c>
      <c r="AI12">
        <f>100-78.0488</f>
        <v>21.9512</v>
      </c>
    </row>
    <row r="13" spans="1:35">
      <c r="A13" t="s">
        <v>103</v>
      </c>
      <c r="B13">
        <v>17.7751</v>
      </c>
      <c r="C13">
        <f>25.393-17.7751</f>
        <v>7.6179</v>
      </c>
      <c r="D13">
        <f>32.0435-25.393</f>
        <v>6.6505</v>
      </c>
      <c r="E13">
        <f>36.5175-32.0435</f>
        <v>4.474</v>
      </c>
      <c r="F13">
        <f>54.0508-36.5175</f>
        <v>17.5333</v>
      </c>
      <c r="G13">
        <f>82.8295-54.0508</f>
        <v>28.7787</v>
      </c>
      <c r="H13">
        <f>100-82.8295</f>
        <v>17.1705</v>
      </c>
      <c r="L13">
        <v>7.25514</v>
      </c>
      <c r="M13">
        <f>16.5659-7.25514</f>
        <v>9.31076</v>
      </c>
      <c r="N13">
        <f>22.0073-16.5659</f>
        <v>5.4414</v>
      </c>
      <c r="O13">
        <f>42.3216-22.0073</f>
        <v>20.3143</v>
      </c>
      <c r="P13">
        <f>77.0254-42.3216</f>
        <v>34.7038</v>
      </c>
      <c r="Q13">
        <f>100-77.0254</f>
        <v>22.9746</v>
      </c>
      <c r="T13">
        <v>11.8649</v>
      </c>
      <c r="U13">
        <f>16.3642-11.8649</f>
        <v>4.4993</v>
      </c>
      <c r="V13">
        <f>24.6367-16.3642</f>
        <v>8.2725</v>
      </c>
      <c r="W13">
        <f>30.3556-24.6367</f>
        <v>5.7189</v>
      </c>
      <c r="X13">
        <f>48.6027-30.3556</f>
        <v>18.2471</v>
      </c>
      <c r="Y13">
        <f>80.8423-48.6027</f>
        <v>32.2396</v>
      </c>
      <c r="Z13">
        <f>100-80.8423</f>
        <v>19.1577</v>
      </c>
      <c r="AC13">
        <v>13.5989</v>
      </c>
      <c r="AD13">
        <f>20.5351-13.5989</f>
        <v>6.9362</v>
      </c>
      <c r="AE13">
        <f>28.2012-20.5351</f>
        <v>7.6661</v>
      </c>
      <c r="AF13">
        <f>34.8903-28.2012</f>
        <v>6.6891</v>
      </c>
      <c r="AG13">
        <f>52.7716-34.8903</f>
        <v>17.8813</v>
      </c>
      <c r="AH13">
        <f>80.7552-52.7716</f>
        <v>27.9836</v>
      </c>
      <c r="AI13">
        <f>100-80.7552</f>
        <v>19.2448</v>
      </c>
    </row>
    <row r="14" spans="1:35">
      <c r="A14" t="s">
        <v>104</v>
      </c>
      <c r="C14">
        <v>8.70617</v>
      </c>
      <c r="D14">
        <f>14.1475-8.70617</f>
        <v>5.44133</v>
      </c>
      <c r="E14">
        <f>19.5889-14.1475</f>
        <v>5.4414</v>
      </c>
      <c r="F14">
        <f>38.6941-19.5889</f>
        <v>19.1052</v>
      </c>
      <c r="G14">
        <f>72.1886-38.6941</f>
        <v>33.4945</v>
      </c>
      <c r="H14">
        <f>100-72.1886</f>
        <v>27.8114</v>
      </c>
      <c r="M14">
        <v>5.68319</v>
      </c>
      <c r="N14">
        <f>11.4873-5.68319</f>
        <v>5.80411</v>
      </c>
      <c r="O14">
        <f>35.0665-11.4873</f>
        <v>23.5792</v>
      </c>
      <c r="P14">
        <f>72.1886-35.0665</f>
        <v>37.1221</v>
      </c>
      <c r="Q14">
        <f>100-72.1886</f>
        <v>27.8114</v>
      </c>
      <c r="T14">
        <v>52.8894</v>
      </c>
      <c r="U14">
        <f>57.7529-52.8894</f>
        <v>4.86349999999999</v>
      </c>
      <c r="V14">
        <f>62.9879-57.7529</f>
        <v>5.23500000000001</v>
      </c>
      <c r="W14">
        <f>65.0568-62.9879</f>
        <v>2.06889999999999</v>
      </c>
      <c r="X14">
        <f>75.1541-65.0568</f>
        <v>10.0973</v>
      </c>
      <c r="Y14">
        <f>89.3869-75.1541</f>
        <v>14.2328</v>
      </c>
      <c r="Z14">
        <f>100-89.3869</f>
        <v>10.6131</v>
      </c>
      <c r="AD14">
        <v>5.96347</v>
      </c>
      <c r="AE14">
        <f>12.4085-5.96347</f>
        <v>6.44503</v>
      </c>
      <c r="AF14">
        <f>17.2785-12.4085</f>
        <v>4.87</v>
      </c>
      <c r="AG14">
        <f>36.744-17.2785</f>
        <v>19.4655</v>
      </c>
      <c r="AH14">
        <f>75.6688-36.744</f>
        <v>38.9248</v>
      </c>
      <c r="AI14">
        <f>100-75.6688</f>
        <v>24.3312</v>
      </c>
    </row>
    <row r="15" spans="1:35">
      <c r="A15" t="s">
        <v>105</v>
      </c>
      <c r="C15">
        <v>13.3011</v>
      </c>
      <c r="D15">
        <f>19.5889-13.3011</f>
        <v>6.2878</v>
      </c>
      <c r="E15">
        <f>23.5792-19.5889</f>
        <v>3.9903</v>
      </c>
      <c r="F15">
        <f>43.7727-23.5792</f>
        <v>20.1935</v>
      </c>
      <c r="G15">
        <f>75.8162-43.7727</f>
        <v>32.0435</v>
      </c>
      <c r="H15">
        <f>100-75.8162</f>
        <v>24.1838</v>
      </c>
      <c r="M15">
        <v>5.68319</v>
      </c>
      <c r="N15">
        <f>11.1245-5.68319</f>
        <v>5.44131</v>
      </c>
      <c r="O15">
        <f>32.89-11.1245</f>
        <v>21.7655</v>
      </c>
      <c r="P15">
        <f>71.9468-32.89</f>
        <v>39.0568</v>
      </c>
      <c r="Q15">
        <f>100-71.9468</f>
        <v>28.0532</v>
      </c>
      <c r="T15">
        <v>42.5738</v>
      </c>
      <c r="U15">
        <f>49.8742-42.5738</f>
        <v>7.3004</v>
      </c>
      <c r="V15">
        <f>55.3475-49.8742</f>
        <v>5.47329999999999</v>
      </c>
      <c r="W15">
        <f>57.7825-55.3475</f>
        <v>2.435</v>
      </c>
      <c r="X15">
        <f>68.7295-57.7825</f>
        <v>10.947</v>
      </c>
      <c r="Y15">
        <f>86.3706-68.7295</f>
        <v>17.6411</v>
      </c>
      <c r="Z15">
        <f>100-86.3706</f>
        <v>13.6294</v>
      </c>
      <c r="AE15">
        <v>5.99233</v>
      </c>
      <c r="AF15">
        <f>12.4381-5.99233</f>
        <v>6.44577</v>
      </c>
      <c r="AG15">
        <f>32.1442-12.4381</f>
        <v>19.7061</v>
      </c>
      <c r="AH15">
        <f>74.1169-32.1442</f>
        <v>41.9727</v>
      </c>
      <c r="AI15">
        <f>100-74.1169</f>
        <v>25.8831</v>
      </c>
    </row>
    <row r="16" spans="1:35">
      <c r="A16" t="s">
        <v>106</v>
      </c>
      <c r="C16">
        <v>7.85973</v>
      </c>
      <c r="D16">
        <f>14.1475-7.85973</f>
        <v>6.28777</v>
      </c>
      <c r="E16">
        <f>18.3797-14.1475</f>
        <v>4.2322</v>
      </c>
      <c r="F16">
        <f>40.5079-18.3797</f>
        <v>22.1282</v>
      </c>
      <c r="G16">
        <f>74.9698-40.5079</f>
        <v>34.4619</v>
      </c>
      <c r="H16">
        <f>100-74.9698</f>
        <v>25.0302</v>
      </c>
      <c r="M16">
        <v>6.28779</v>
      </c>
      <c r="N16">
        <f>12.6965-6.28779</f>
        <v>6.40871</v>
      </c>
      <c r="O16">
        <f>34.7037-12.6965</f>
        <v>22.0072</v>
      </c>
      <c r="P16">
        <f>73.7606-34.7037</f>
        <v>39.0569</v>
      </c>
      <c r="Q16">
        <f>100-73.7606</f>
        <v>26.2394</v>
      </c>
      <c r="T16">
        <v>30.8033</v>
      </c>
      <c r="U16">
        <f>35.3045-30.8033</f>
        <v>4.5012</v>
      </c>
      <c r="V16">
        <f>40.7771-35.3045</f>
        <v>5.4726</v>
      </c>
      <c r="W16">
        <f>44.1834-40.7771</f>
        <v>3.4063</v>
      </c>
      <c r="X16">
        <f>59.389-44.1834</f>
        <v>15.2056</v>
      </c>
      <c r="Y16">
        <f>82.7498-59.389</f>
        <v>23.3608</v>
      </c>
      <c r="Z16">
        <f>100-82.7498</f>
        <v>17.2502</v>
      </c>
      <c r="AD16">
        <v>6.01541</v>
      </c>
      <c r="AE16">
        <f>12.0974-6.01541</f>
        <v>6.08199</v>
      </c>
      <c r="AF16">
        <f>17.5718-12.0974</f>
        <v>5.4744</v>
      </c>
      <c r="AG16">
        <f>37.4003-17.57118</f>
        <v>19.82912</v>
      </c>
      <c r="AH16">
        <f>75.9698-37.4003</f>
        <v>38.5695</v>
      </c>
      <c r="AI16">
        <f>100-75.9698</f>
        <v>24.0302</v>
      </c>
    </row>
    <row r="17" spans="1:35">
      <c r="A17" t="s">
        <v>107</v>
      </c>
      <c r="C17">
        <v>6.65054</v>
      </c>
      <c r="D17">
        <f>12.0919-6.65054</f>
        <v>5.44136</v>
      </c>
      <c r="E17">
        <f>17.5333-12.0919</f>
        <v>5.4414</v>
      </c>
      <c r="F17">
        <f>41.1125-17.5333</f>
        <v>23.5792</v>
      </c>
      <c r="G17">
        <f>76.179-41.1125</f>
        <v>35.0665</v>
      </c>
      <c r="H17">
        <f>100-76.179</f>
        <v>23.821</v>
      </c>
      <c r="M17">
        <v>6.65054</v>
      </c>
      <c r="N17">
        <f>11.7291-6.65054</f>
        <v>5.07856</v>
      </c>
      <c r="O17">
        <f>35.3083-11.7291</f>
        <v>23.5792</v>
      </c>
      <c r="P17">
        <f>74.9698-35.3083</f>
        <v>39.6615</v>
      </c>
      <c r="Q17">
        <f>100-74.9698</f>
        <v>25.0302</v>
      </c>
      <c r="T17">
        <v>46.2804</v>
      </c>
      <c r="U17">
        <f>49.3225-46.2804</f>
        <v>3.0421</v>
      </c>
      <c r="V17">
        <f>67.3227-49.3225</f>
        <v>18.0002</v>
      </c>
      <c r="W17">
        <f>69.3916-67.3227</f>
        <v>2.0689</v>
      </c>
      <c r="X17">
        <f>77.0539-69.3916</f>
        <v>7.6623</v>
      </c>
      <c r="Y17">
        <f>89.8277-77.0539</f>
        <v>12.7738</v>
      </c>
      <c r="Z17">
        <f>100-89.8277</f>
        <v>10.1723</v>
      </c>
      <c r="AD17">
        <v>7.86831</v>
      </c>
      <c r="AE17">
        <f>16.3841-7.86831</f>
        <v>8.51579</v>
      </c>
      <c r="AF17">
        <f>21.8586-16.3841</f>
        <v>5.4745</v>
      </c>
      <c r="AG17">
        <f>43.1481-21.8586</f>
        <v>21.2895</v>
      </c>
      <c r="AH17">
        <f>79.0389-43.1481</f>
        <v>35.8908</v>
      </c>
      <c r="AI17">
        <f>100-79.0389</f>
        <v>20.9611</v>
      </c>
    </row>
    <row r="18" spans="1:35">
      <c r="A18" t="s">
        <v>108</v>
      </c>
      <c r="C18">
        <v>6.28779</v>
      </c>
      <c r="D18">
        <f>10.2781-6.28779</f>
        <v>3.99031</v>
      </c>
      <c r="E18">
        <f>15.1149-10.2781</f>
        <v>4.8368</v>
      </c>
      <c r="F18">
        <f>27.8114-15.1149</f>
        <v>12.6965</v>
      </c>
      <c r="G18">
        <f>60.0967-27.8114</f>
        <v>32.2853</v>
      </c>
      <c r="H18">
        <f>100-60.0967</f>
        <v>39.9033</v>
      </c>
      <c r="L18">
        <v>8.10157</v>
      </c>
      <c r="M18">
        <f>14.7521-8.10157</f>
        <v>6.65053</v>
      </c>
      <c r="N18">
        <f>20.7981-14.7521</f>
        <v>6.046</v>
      </c>
      <c r="O18">
        <f>37.1221-20.7981</f>
        <v>16.324</v>
      </c>
      <c r="P18">
        <f>74.0024-37.1221</f>
        <v>36.8803</v>
      </c>
      <c r="Q18">
        <f>100-74.0024</f>
        <v>25.9976</v>
      </c>
      <c r="T18">
        <v>22.9458</v>
      </c>
      <c r="U18">
        <f>26.8406-22.9458</f>
        <v>3.8948</v>
      </c>
      <c r="V18">
        <f>51.5353-26.8406</f>
        <v>24.6947</v>
      </c>
      <c r="W18">
        <f>54.2129-51.5353</f>
        <v>2.6776</v>
      </c>
      <c r="X18">
        <f>64.5543-54.2129</f>
        <v>10.3414</v>
      </c>
      <c r="Y18">
        <f>84.9903-64.5543</f>
        <v>20.436</v>
      </c>
      <c r="Z18">
        <f>100-84.9903</f>
        <v>15.0097</v>
      </c>
      <c r="AD18">
        <v>6.07042</v>
      </c>
      <c r="AE18">
        <f>12.7633-6.07042</f>
        <v>6.69288</v>
      </c>
      <c r="AF18">
        <f>17.9914-12.7633</f>
        <v>5.2281</v>
      </c>
      <c r="AG18">
        <f>34.0498-17.9914</f>
        <v>16.0584</v>
      </c>
      <c r="AH18">
        <f>74.1969-34.0498</f>
        <v>40.1471</v>
      </c>
      <c r="AI18">
        <f>99.4999-74.1969</f>
        <v>25.303</v>
      </c>
    </row>
    <row r="20" spans="1:35">
      <c r="A20" t="s">
        <v>109</v>
      </c>
      <c r="B20" t="s">
        <v>59</v>
      </c>
      <c r="C20" t="s">
        <v>110</v>
      </c>
      <c r="D20" t="s">
        <v>86</v>
      </c>
      <c r="E20" t="s">
        <v>87</v>
      </c>
      <c r="V20" s="2"/>
      <c r="W20" s="2"/>
    </row>
    <row r="21" spans="1:35">
      <c r="A21" t="s">
        <v>92</v>
      </c>
      <c r="B21">
        <v>4.21921</v>
      </c>
      <c r="C21">
        <f>7.7192-4.21921</f>
        <v>3.49999</v>
      </c>
      <c r="D21">
        <f>31.3341-7.7192</f>
        <v>23.6149</v>
      </c>
      <c r="E21">
        <f>41.0321-31.3341</f>
        <v>9.698</v>
      </c>
      <c r="V21" s="2">
        <v>23.6149</v>
      </c>
      <c r="W21" s="2">
        <v>9.698</v>
      </c>
    </row>
    <row r="22" spans="1:35">
      <c r="A22" t="s">
        <v>93</v>
      </c>
      <c r="B22">
        <v>4.43541</v>
      </c>
      <c r="C22">
        <f>7.3024-4.43541</f>
        <v>2.86699</v>
      </c>
      <c r="D22">
        <f>39.4351-7.3024</f>
        <v>32.1327</v>
      </c>
      <c r="E22">
        <f>47.4473-39.4351</f>
        <v>8.0122</v>
      </c>
      <c r="V22" s="2">
        <v>32.1327</v>
      </c>
      <c r="W22" s="2">
        <v>8.0122</v>
      </c>
    </row>
    <row r="23" spans="1:35">
      <c r="A23" t="s">
        <v>94</v>
      </c>
      <c r="B23">
        <v>3.09072</v>
      </c>
      <c r="C23">
        <f>5.91554-3.09072</f>
        <v>2.82482</v>
      </c>
      <c r="D23">
        <f>26.2842-5.91554</f>
        <v>20.36866</v>
      </c>
      <c r="E23">
        <f>29.4473-26.2842</f>
        <v>3.1631</v>
      </c>
      <c r="V23" s="2">
        <v>20.36866</v>
      </c>
      <c r="W23" s="2">
        <v>3.1631</v>
      </c>
    </row>
    <row r="24" spans="1:35">
      <c r="A24" t="s">
        <v>95</v>
      </c>
      <c r="B24">
        <v>8.57761</v>
      </c>
      <c r="C24">
        <f>12.1617-8.57761</f>
        <v>3.58409</v>
      </c>
      <c r="D24">
        <f>52.6435-12.1617</f>
        <v>40.4818</v>
      </c>
      <c r="E24">
        <f>66.0103-52.6435</f>
        <v>13.3668</v>
      </c>
      <c r="V24" s="2">
        <v>40.4818</v>
      </c>
      <c r="W24" s="2">
        <v>13.3668</v>
      </c>
    </row>
    <row r="25" spans="1:35">
      <c r="A25" t="s">
        <v>96</v>
      </c>
      <c r="B25">
        <v>4.45092</v>
      </c>
      <c r="C25">
        <f>8.16082-4.45092</f>
        <v>3.7099</v>
      </c>
      <c r="D25">
        <f>20.8957-8.16082</f>
        <v>12.73488</v>
      </c>
      <c r="E25">
        <f>24.3955-20.8957</f>
        <v>3.4998</v>
      </c>
      <c r="V25" s="2">
        <v>12.73488</v>
      </c>
      <c r="W25" s="2">
        <v>3.4998</v>
      </c>
    </row>
    <row r="26" spans="1:35">
      <c r="A26" t="s">
        <v>97</v>
      </c>
      <c r="B26">
        <v>7.53393</v>
      </c>
      <c r="C26">
        <f>10.5701-7.53393</f>
        <v>3.03617</v>
      </c>
      <c r="D26">
        <f>16.052-10.5701</f>
        <v>5.4819</v>
      </c>
      <c r="E26">
        <f>19.6358-16.052</f>
        <v>3.5838</v>
      </c>
      <c r="V26" s="2">
        <v>5.4819</v>
      </c>
      <c r="W26" s="2">
        <v>3.5838</v>
      </c>
    </row>
    <row r="27" spans="1:35">
      <c r="A27" t="s">
        <v>98</v>
      </c>
      <c r="B27">
        <v>3.19621</v>
      </c>
      <c r="C27">
        <f>6.06301-3.19621</f>
        <v>2.8668</v>
      </c>
      <c r="D27">
        <f>23.3507-6.06301</f>
        <v>17.28769</v>
      </c>
      <c r="E27">
        <f>26.9355-23.3507</f>
        <v>3.5848</v>
      </c>
      <c r="V27" s="2">
        <v>17.28769</v>
      </c>
      <c r="W27" s="2">
        <v>3.5848</v>
      </c>
    </row>
    <row r="28" spans="1:35">
      <c r="A28" t="s">
        <v>99</v>
      </c>
      <c r="B28">
        <v>3.41062</v>
      </c>
      <c r="C28">
        <f>6.70043-3.41062</f>
        <v>3.28981</v>
      </c>
      <c r="D28">
        <f>31.5789-6.70043</f>
        <v>24.87847</v>
      </c>
      <c r="E28">
        <f>34.7416-31.5789</f>
        <v>3.1627</v>
      </c>
      <c r="V28" s="2">
        <v>24.87847</v>
      </c>
      <c r="W28" s="2">
        <v>3.1627</v>
      </c>
    </row>
    <row r="29" spans="1:35">
      <c r="A29" t="s">
        <v>100</v>
      </c>
      <c r="B29">
        <v>3.96417</v>
      </c>
      <c r="C29">
        <f>6.70513-3.96417</f>
        <v>2.74096</v>
      </c>
      <c r="D29">
        <f>17.542-6.70513</f>
        <v>10.83687</v>
      </c>
      <c r="E29">
        <f>20.704-17.542</f>
        <v>3.162</v>
      </c>
      <c r="V29" s="2">
        <v>10.83687</v>
      </c>
      <c r="W29" s="2">
        <v>3.162</v>
      </c>
    </row>
    <row r="30" spans="1:35">
      <c r="A30" t="s">
        <v>101</v>
      </c>
      <c r="B30">
        <v>4.05227</v>
      </c>
      <c r="C30">
        <f>7.76292-4.05227</f>
        <v>3.71065</v>
      </c>
      <c r="D30">
        <f>27.878-7.76292</f>
        <v>20.11508</v>
      </c>
      <c r="E30">
        <f>32.2223-27.878</f>
        <v>4.3443</v>
      </c>
      <c r="V30" s="2">
        <v>20.11508</v>
      </c>
      <c r="W30" s="2">
        <v>4.3443</v>
      </c>
    </row>
    <row r="31" spans="1:35">
      <c r="A31" t="s">
        <v>102</v>
      </c>
      <c r="B31">
        <v>3.55217</v>
      </c>
      <c r="C31">
        <f>6.7984-3.55217</f>
        <v>3.24623</v>
      </c>
      <c r="D31">
        <f>17.2576-6.7984</f>
        <v>10.4592</v>
      </c>
      <c r="E31">
        <f>21.0528-17.2576</f>
        <v>3.7952</v>
      </c>
      <c r="V31" s="2">
        <v>10.4592</v>
      </c>
      <c r="W31" s="2">
        <v>3.7952</v>
      </c>
    </row>
    <row r="32" spans="1:35">
      <c r="A32" t="s">
        <v>103</v>
      </c>
      <c r="B32">
        <v>4.82146</v>
      </c>
      <c r="C32">
        <f>8.19466-4.82146</f>
        <v>3.3732</v>
      </c>
      <c r="D32">
        <f>12.4115-8.19466</f>
        <v>4.21684</v>
      </c>
      <c r="E32">
        <f>16.6293-12.4115</f>
        <v>4.2178</v>
      </c>
      <c r="V32" s="2">
        <v>4.21684</v>
      </c>
      <c r="W32" s="2">
        <v>4.2178</v>
      </c>
    </row>
    <row r="33" spans="1:35">
      <c r="A33" t="s">
        <v>104</v>
      </c>
      <c r="B33">
        <v>2.59189</v>
      </c>
      <c r="C33">
        <f>5.33312-2.59189</f>
        <v>2.74123</v>
      </c>
      <c r="D33">
        <f>13.3456-5.33312</f>
        <v>8.01248</v>
      </c>
      <c r="E33">
        <f>16.6338-13.3456</f>
        <v>3.2882</v>
      </c>
      <c r="V33" s="2">
        <v>8.01248</v>
      </c>
      <c r="W33" s="2">
        <v>3.2882</v>
      </c>
    </row>
    <row r="34" spans="1:35">
      <c r="A34" t="s">
        <v>105</v>
      </c>
      <c r="B34">
        <v>3.22959</v>
      </c>
      <c r="C34">
        <f>5.76017-3.22959</f>
        <v>2.53058</v>
      </c>
      <c r="D34">
        <f>12.0845-5.76017</f>
        <v>6.32433</v>
      </c>
      <c r="E34">
        <f>15.0358-12.0845</f>
        <v>2.9513</v>
      </c>
      <c r="V34" s="2">
        <v>6.32433</v>
      </c>
      <c r="W34" s="2">
        <v>2.9513</v>
      </c>
    </row>
    <row r="35" spans="1:35">
      <c r="A35" t="s">
        <v>106</v>
      </c>
      <c r="B35">
        <v>3.15042</v>
      </c>
      <c r="C35">
        <f>5.97505-3.15042</f>
        <v>2.82463</v>
      </c>
      <c r="D35">
        <f>10.6138-5.97505</f>
        <v>4.63875</v>
      </c>
      <c r="E35">
        <f>13.9029-10.6138</f>
        <v>3.2891</v>
      </c>
      <c r="V35" s="2">
        <v>4.63875</v>
      </c>
      <c r="W35" s="2">
        <v>3.2891</v>
      </c>
    </row>
    <row r="36" spans="1:35">
      <c r="A36" t="s">
        <v>107</v>
      </c>
      <c r="B36">
        <v>3.23946</v>
      </c>
      <c r="C36">
        <f>6.19126-3.23946</f>
        <v>2.9518</v>
      </c>
      <c r="D36">
        <f>14.4146-6.19126</f>
        <v>8.22334</v>
      </c>
      <c r="E36">
        <f>18.2096-14.4146</f>
        <v>3.795</v>
      </c>
      <c r="V36" s="2">
        <v>8.22334</v>
      </c>
      <c r="W36" s="2">
        <v>3.795</v>
      </c>
    </row>
    <row r="37" spans="1:35">
      <c r="A37" t="s">
        <v>108</v>
      </c>
      <c r="B37">
        <v>1.5577</v>
      </c>
      <c r="C37">
        <f>4.42535-1.5577</f>
        <v>2.86765</v>
      </c>
      <c r="D37">
        <f>9.90679-4.42535</f>
        <v>5.48144</v>
      </c>
      <c r="E37">
        <f>12.9427-9.90679</f>
        <v>3.03591</v>
      </c>
      <c r="V37" s="2">
        <v>5.48144</v>
      </c>
      <c r="W37" s="2">
        <v>3.03591</v>
      </c>
    </row>
    <row r="39" s="1" customFormat="1" spans="1:35">
      <c r="A39" s="1" t="s">
        <v>111</v>
      </c>
      <c r="B39" s="1" t="s">
        <v>56</v>
      </c>
      <c r="C39" s="1" t="s">
        <v>63</v>
      </c>
      <c r="D39" s="1" t="s">
        <v>64</v>
      </c>
      <c r="E39" s="1" t="s">
        <v>65</v>
      </c>
      <c r="F39" s="1" t="s">
        <v>66</v>
      </c>
      <c r="G39" s="1" t="s">
        <v>67</v>
      </c>
      <c r="H39" s="1" t="s">
        <v>68</v>
      </c>
      <c r="J39" s="1" t="s">
        <v>112</v>
      </c>
      <c r="K39" s="1" t="s">
        <v>56</v>
      </c>
      <c r="L39" s="1" t="s">
        <v>63</v>
      </c>
      <c r="M39" s="1" t="s">
        <v>64</v>
      </c>
      <c r="N39" s="1" t="s">
        <v>65</v>
      </c>
      <c r="O39" s="1" t="s">
        <v>66</v>
      </c>
      <c r="P39" s="1" t="s">
        <v>67</v>
      </c>
      <c r="Q39" s="1" t="s">
        <v>68</v>
      </c>
      <c r="S39" s="1" t="s">
        <v>86</v>
      </c>
      <c r="T39" s="1" t="s">
        <v>56</v>
      </c>
      <c r="U39" s="1" t="s">
        <v>63</v>
      </c>
      <c r="V39" s="1" t="s">
        <v>64</v>
      </c>
      <c r="W39" s="1" t="s">
        <v>65</v>
      </c>
      <c r="X39" s="1" t="s">
        <v>66</v>
      </c>
      <c r="Y39" s="1" t="s">
        <v>67</v>
      </c>
      <c r="Z39" s="1" t="s">
        <v>68</v>
      </c>
      <c r="AB39" s="1" t="s">
        <v>87</v>
      </c>
      <c r="AC39" s="1" t="s">
        <v>56</v>
      </c>
      <c r="AD39" s="1" t="s">
        <v>63</v>
      </c>
      <c r="AE39" s="1" t="s">
        <v>64</v>
      </c>
      <c r="AF39" s="1" t="s">
        <v>65</v>
      </c>
      <c r="AG39" s="1" t="s">
        <v>66</v>
      </c>
      <c r="AH39" s="1" t="s">
        <v>67</v>
      </c>
      <c r="AI39" s="1" t="s">
        <v>68</v>
      </c>
    </row>
    <row r="40" s="1" customFormat="1" spans="1:35">
      <c r="A40" s="1" t="s">
        <v>92</v>
      </c>
      <c r="B40" s="1">
        <f t="shared" ref="B40:H40" si="0">B2*4.21921/100</f>
        <v>0.58671068497</v>
      </c>
      <c r="C40" s="1">
        <f t="shared" si="0"/>
        <v>0.38263593569</v>
      </c>
      <c r="D40" s="1">
        <f t="shared" si="0"/>
        <v>0.2550934366</v>
      </c>
      <c r="E40" s="1">
        <f t="shared" si="0"/>
        <v>0.1887674554</v>
      </c>
      <c r="F40" s="1">
        <f t="shared" si="0"/>
        <v>0.73976252772</v>
      </c>
      <c r="G40" s="1">
        <f t="shared" si="0"/>
        <v>1.26525247559</v>
      </c>
      <c r="H40" s="1">
        <f t="shared" si="0"/>
        <v>0.80098748403</v>
      </c>
      <c r="K40" s="1">
        <f t="shared" ref="K40:Q40" si="1">K2*3.49999/100</f>
        <v>0.43167826663</v>
      </c>
      <c r="L40" s="1">
        <f t="shared" si="1"/>
        <v>0.2116093954</v>
      </c>
      <c r="M40" s="1">
        <f t="shared" si="1"/>
        <v>0.16082104051</v>
      </c>
      <c r="N40" s="1">
        <f t="shared" si="1"/>
        <v>0.14812657678</v>
      </c>
      <c r="O40" s="1">
        <f t="shared" si="1"/>
        <v>0.62212672249</v>
      </c>
      <c r="P40" s="1">
        <f t="shared" si="1"/>
        <v>1.15537469892</v>
      </c>
      <c r="Q40" s="1">
        <f t="shared" si="1"/>
        <v>0.77025329927</v>
      </c>
      <c r="T40" s="1">
        <f t="shared" ref="T40:Z40" si="2">T2*23.6149/100</f>
        <v>19.7397185249</v>
      </c>
      <c r="U40" s="1">
        <f t="shared" si="2"/>
        <v>0.431208073999998</v>
      </c>
      <c r="V40" s="1">
        <f t="shared" si="2"/>
        <v>0.229560442899999</v>
      </c>
      <c r="W40" s="1">
        <f t="shared" si="2"/>
        <v>0.200915569200002</v>
      </c>
      <c r="X40" s="1">
        <f t="shared" si="2"/>
        <v>0.861849390399998</v>
      </c>
      <c r="Y40" s="1">
        <f t="shared" si="2"/>
        <v>1.23505927</v>
      </c>
      <c r="Z40" s="1">
        <f t="shared" si="2"/>
        <v>0.9165887286</v>
      </c>
      <c r="AC40" s="1">
        <f t="shared" ref="AC40:AI40" si="3">AC2*9.698/100</f>
        <v>3.614871312</v>
      </c>
      <c r="AD40" s="1">
        <f t="shared" si="3"/>
        <v>0.212357106</v>
      </c>
      <c r="AE40" s="1">
        <f t="shared" si="3"/>
        <v>0.259489386</v>
      </c>
      <c r="AF40" s="1">
        <f t="shared" si="3"/>
        <v>0.235962038</v>
      </c>
      <c r="AG40" s="1">
        <f t="shared" si="3"/>
        <v>2.74875263</v>
      </c>
      <c r="AH40" s="1">
        <f t="shared" si="3"/>
        <v>1.6753295</v>
      </c>
      <c r="AI40" s="1">
        <f t="shared" si="3"/>
        <v>0.951238028</v>
      </c>
    </row>
    <row r="41" s="1" customFormat="1" spans="1:35">
      <c r="A41" s="1" t="s">
        <v>93</v>
      </c>
      <c r="B41" s="1">
        <f t="shared" ref="B41:H41" si="4">B3*4.43541/100</f>
        <v>1.09946717244</v>
      </c>
      <c r="C41" s="1">
        <f t="shared" si="4"/>
        <v>0.34860991977</v>
      </c>
      <c r="D41" s="1">
        <f t="shared" si="4"/>
        <v>0.17162375454</v>
      </c>
      <c r="E41" s="1">
        <f t="shared" si="4"/>
        <v>0.18771542202</v>
      </c>
      <c r="F41" s="1">
        <f t="shared" si="4"/>
        <v>0.71331150702</v>
      </c>
      <c r="G41" s="1">
        <f t="shared" si="4"/>
        <v>1.11019642923</v>
      </c>
      <c r="H41" s="1">
        <f t="shared" si="4"/>
        <v>0.80448579498</v>
      </c>
      <c r="L41" s="1">
        <f t="shared" ref="L41:Q41" si="5">L3*2.86699/100</f>
        <v>0.173336781905</v>
      </c>
      <c r="M41" s="1">
        <f t="shared" si="5"/>
        <v>0.180269163725</v>
      </c>
      <c r="N41" s="1">
        <f t="shared" si="5"/>
        <v>0.18373678813</v>
      </c>
      <c r="O41" s="1">
        <f t="shared" si="5"/>
        <v>0.55467942229</v>
      </c>
      <c r="P41" s="1">
        <f t="shared" si="5"/>
        <v>1.01228543017</v>
      </c>
      <c r="Q41" s="1">
        <f t="shared" si="5"/>
        <v>0.76268241378</v>
      </c>
      <c r="T41" s="1">
        <f t="shared" ref="T41:Z41" si="6">T3*32.1327/100</f>
        <v>26.5941471645</v>
      </c>
      <c r="U41" s="1">
        <f t="shared" si="6"/>
        <v>1.6418203065</v>
      </c>
      <c r="V41" s="1">
        <f t="shared" si="6"/>
        <v>0.5861325807</v>
      </c>
      <c r="W41" s="1">
        <f t="shared" si="6"/>
        <v>0.196073735399997</v>
      </c>
      <c r="X41" s="1">
        <f t="shared" si="6"/>
        <v>0.782431245000001</v>
      </c>
      <c r="Y41" s="1">
        <f t="shared" si="6"/>
        <v>1.3677926409</v>
      </c>
      <c r="Z41" s="1">
        <f t="shared" si="6"/>
        <v>0.964302327000002</v>
      </c>
      <c r="AC41" s="1">
        <f t="shared" ref="AC41:AI41" si="7">AC3*8.0122/100</f>
        <v>4.2068376588</v>
      </c>
      <c r="AD41" s="1">
        <f t="shared" si="7"/>
        <v>0.2241893682</v>
      </c>
      <c r="AE41" s="1">
        <f t="shared" si="7"/>
        <v>0.2435869044</v>
      </c>
      <c r="AF41" s="1">
        <f t="shared" si="7"/>
        <v>0.2143744232</v>
      </c>
      <c r="AG41" s="1">
        <f t="shared" si="7"/>
        <v>0.711851921199999</v>
      </c>
      <c r="AH41" s="1">
        <f t="shared" si="7"/>
        <v>1.4814237312</v>
      </c>
      <c r="AI41" s="1">
        <f t="shared" si="7"/>
        <v>0.929935993</v>
      </c>
    </row>
    <row r="42" s="1" customFormat="1" spans="1:35">
      <c r="A42" s="1" t="s">
        <v>94</v>
      </c>
      <c r="B42" s="1"/>
      <c r="C42" s="1">
        <f t="shared" ref="C42:H42" si="8">C4*3.09072/100</f>
        <v>0.33635378544</v>
      </c>
      <c r="D42" s="1">
        <f t="shared" si="8"/>
        <v>0.17565179904</v>
      </c>
      <c r="E42" s="1">
        <f t="shared" si="8"/>
        <v>0.1607019864</v>
      </c>
      <c r="F42" s="1">
        <f t="shared" si="8"/>
        <v>2.05549569888</v>
      </c>
      <c r="G42" s="1">
        <f t="shared" si="8"/>
        <v>0.95300496768</v>
      </c>
      <c r="H42" s="1">
        <f t="shared" si="8"/>
        <v>0.75492690432</v>
      </c>
      <c r="M42" s="1">
        <f>M4*2.82482/100</f>
        <v>0.187865784028</v>
      </c>
      <c r="N42" s="1">
        <f>N4*2.82482/100</f>
        <v>0.170787487272</v>
      </c>
      <c r="O42" s="1">
        <f>O4*2.82482/100</f>
        <v>0.63874264876</v>
      </c>
      <c r="P42" s="1">
        <f>P4*2.82482/100</f>
        <v>1.09303867562</v>
      </c>
      <c r="Q42" s="1">
        <f>Q4*2.82482/100</f>
        <v>0.73438540432</v>
      </c>
      <c r="T42" s="1">
        <f t="shared" ref="T42:Z42" si="9">T4*20.36866/100</f>
        <v>15.67451898506</v>
      </c>
      <c r="U42" s="1">
        <f t="shared" si="9"/>
        <v>0.990548304460001</v>
      </c>
      <c r="V42" s="1">
        <f t="shared" si="9"/>
        <v>0.495426917179999</v>
      </c>
      <c r="W42" s="1">
        <f t="shared" si="9"/>
        <v>0.198248167780002</v>
      </c>
      <c r="X42" s="1">
        <f t="shared" si="9"/>
        <v>0.793094514419999</v>
      </c>
      <c r="Y42" s="1">
        <f t="shared" si="9"/>
        <v>1.31292308628</v>
      </c>
      <c r="Z42" s="1">
        <f t="shared" si="9"/>
        <v>0.903900024820001</v>
      </c>
      <c r="AD42" s="1">
        <f t="shared" ref="AD42:AI42" si="10">AD4*3.1631/100</f>
        <v>0.15321328887</v>
      </c>
      <c r="AE42" s="1">
        <f t="shared" si="10"/>
        <v>0.19246293153</v>
      </c>
      <c r="AF42" s="1">
        <f t="shared" si="10"/>
        <v>0.1538626733</v>
      </c>
      <c r="AG42" s="1">
        <f t="shared" si="10"/>
        <v>0.5849046365</v>
      </c>
      <c r="AH42" s="1">
        <f t="shared" si="10"/>
        <v>1.2621591406</v>
      </c>
      <c r="AI42" s="1">
        <f t="shared" si="10"/>
        <v>0.8164973292</v>
      </c>
    </row>
    <row r="43" s="1" customFormat="1" spans="1:35">
      <c r="A43" s="1" t="s">
        <v>95</v>
      </c>
      <c r="B43" s="1">
        <f t="shared" ref="B43:H43" si="11">B5*8.57761/100</f>
        <v>1.36909806493</v>
      </c>
      <c r="C43" s="1">
        <f t="shared" si="11"/>
        <v>1.918811357</v>
      </c>
      <c r="D43" s="1">
        <f t="shared" si="11"/>
        <v>0.39413260189</v>
      </c>
      <c r="E43" s="1">
        <f t="shared" si="11"/>
        <v>0.33190204134</v>
      </c>
      <c r="F43" s="1">
        <f t="shared" si="11"/>
        <v>1.34835740395</v>
      </c>
      <c r="G43" s="1">
        <f t="shared" si="11"/>
        <v>2.28183296742</v>
      </c>
      <c r="H43" s="1">
        <f t="shared" si="11"/>
        <v>0.93347556347</v>
      </c>
      <c r="K43" s="1">
        <f>K5*3.58409/100</f>
        <v>0.59373676531</v>
      </c>
      <c r="M43" s="1">
        <f>M5*3.58409/100</f>
        <v>0.19502467326</v>
      </c>
      <c r="N43" s="1">
        <f>N5*3.58409/100</f>
        <v>0.20802416769</v>
      </c>
      <c r="O43" s="1">
        <f>O5*3.58409/100</f>
        <v>0.61540617345</v>
      </c>
      <c r="P43" s="1">
        <f>P5*3.58409/100</f>
        <v>1.18313678172</v>
      </c>
      <c r="Q43" s="1">
        <f>Q5*3.58409/100</f>
        <v>0.78876143857</v>
      </c>
      <c r="T43" s="1">
        <f t="shared" ref="T43:Z43" si="12">T5*40.4818/100</f>
        <v>33.6257213884</v>
      </c>
      <c r="U43" s="1">
        <f t="shared" si="12"/>
        <v>3.3480877508</v>
      </c>
      <c r="V43" s="1">
        <f t="shared" si="12"/>
        <v>0.4919753154</v>
      </c>
      <c r="W43" s="1">
        <f t="shared" si="12"/>
        <v>0.247505725200001</v>
      </c>
      <c r="X43" s="1">
        <f t="shared" si="12"/>
        <v>0.702602120799996</v>
      </c>
      <c r="Y43" s="1">
        <f t="shared" si="12"/>
        <v>1.0823618866</v>
      </c>
      <c r="Z43" s="1">
        <f t="shared" si="12"/>
        <v>0.947112192800002</v>
      </c>
      <c r="AC43" s="1">
        <f t="shared" ref="AC43:AI43" si="13">AC5*13.3668/100</f>
        <v>9.301822452</v>
      </c>
      <c r="AD43" s="1">
        <f t="shared" si="13"/>
        <v>0.292545784800001</v>
      </c>
      <c r="AE43" s="1">
        <f t="shared" si="13"/>
        <v>0.2765991924</v>
      </c>
      <c r="AF43" s="1">
        <f t="shared" si="13"/>
        <v>0.2437569648</v>
      </c>
      <c r="AG43" s="1">
        <f t="shared" si="13"/>
        <v>0.8132227452</v>
      </c>
      <c r="AH43" s="1">
        <f t="shared" si="13"/>
        <v>1.512052416</v>
      </c>
      <c r="AI43" s="1">
        <f t="shared" si="13"/>
        <v>0.9268004448</v>
      </c>
    </row>
    <row r="44" s="1" customFormat="1" spans="1:35">
      <c r="A44" s="1" t="s">
        <v>96</v>
      </c>
      <c r="B44" s="1">
        <f t="shared" ref="B44:H44" si="14">B6*4.45092/100</f>
        <v>0.96876054168</v>
      </c>
      <c r="C44" s="1">
        <f t="shared" si="14"/>
        <v>0.52205730864</v>
      </c>
      <c r="D44" s="1">
        <f t="shared" si="14"/>
        <v>0.161457123</v>
      </c>
      <c r="E44" s="1">
        <f t="shared" si="14"/>
        <v>0.21528209856</v>
      </c>
      <c r="F44" s="1">
        <f t="shared" si="14"/>
        <v>0.75347844312</v>
      </c>
      <c r="G44" s="1">
        <f t="shared" si="14"/>
        <v>1.01181874176</v>
      </c>
      <c r="H44" s="1">
        <f t="shared" si="14"/>
        <v>0.81806574324</v>
      </c>
      <c r="K44" s="1">
        <f>K6*3.7099/100</f>
        <v>0.8971947962</v>
      </c>
      <c r="M44" s="1">
        <f>M6*3.7099/100</f>
        <v>0.1794404432</v>
      </c>
      <c r="N44" s="1">
        <f>N6*3.7099/100</f>
        <v>0.1884109814</v>
      </c>
      <c r="O44" s="1">
        <f>O6*3.7099/100</f>
        <v>0.663923704</v>
      </c>
      <c r="P44" s="1">
        <f>P6*3.7099/100</f>
        <v>0.9734555006</v>
      </c>
      <c r="Q44" s="1">
        <f>Q6*3.7099/100</f>
        <v>0.8074745746</v>
      </c>
      <c r="T44" s="1">
        <f t="shared" ref="T44:Z44" si="15">T6*12.73488/100</f>
        <v>8.22623581968</v>
      </c>
      <c r="U44" s="1">
        <f t="shared" si="15"/>
        <v>1.19318184672</v>
      </c>
      <c r="V44" s="1">
        <f t="shared" si="15"/>
        <v>0.588364190879999</v>
      </c>
      <c r="W44" s="1">
        <f t="shared" si="15"/>
        <v>0.185763694560001</v>
      </c>
      <c r="X44" s="1">
        <f t="shared" si="15"/>
        <v>0.743653317599998</v>
      </c>
      <c r="Y44" s="1">
        <f t="shared" si="15"/>
        <v>0.88331674656</v>
      </c>
      <c r="Z44" s="1">
        <f t="shared" si="15"/>
        <v>0.914364384000001</v>
      </c>
      <c r="AD44" s="1">
        <f t="shared" ref="AD44:AI44" si="16">AD6*3.4998/100</f>
        <v>0.20123780004</v>
      </c>
      <c r="AE44" s="1">
        <f t="shared" si="16"/>
        <v>0.31074094236</v>
      </c>
      <c r="AF44" s="1">
        <f t="shared" si="16"/>
        <v>0.1915300548</v>
      </c>
      <c r="AG44" s="1">
        <f t="shared" si="16"/>
        <v>0.7324241448</v>
      </c>
      <c r="AH44" s="1">
        <f t="shared" si="16"/>
        <v>1.2474967104</v>
      </c>
      <c r="AI44" s="1">
        <f t="shared" si="16"/>
        <v>0.8163703476</v>
      </c>
    </row>
    <row r="45" s="1" customFormat="1" spans="1:35">
      <c r="A45" s="1" t="s">
        <v>97</v>
      </c>
      <c r="B45" s="1"/>
      <c r="C45" s="1"/>
      <c r="D45" s="1">
        <f>D7*7.53393/100</f>
        <v>0.546597169002</v>
      </c>
      <c r="E45" s="1">
        <f>E7*7.53393/100</f>
        <v>0.473715436968</v>
      </c>
      <c r="F45" s="1">
        <f>F7*7.53393/100</f>
        <v>2.23194183036</v>
      </c>
      <c r="G45" s="1">
        <f>G7*7.53393/100</f>
        <v>3.39801338004</v>
      </c>
      <c r="H45" s="1">
        <f>H7*7.53393/100</f>
        <v>0.88366218363</v>
      </c>
      <c r="L45" s="1">
        <f t="shared" ref="L45:Q45" si="17">L7*3.0317/100</f>
        <v>0.1539679162</v>
      </c>
      <c r="M45" s="1">
        <f t="shared" si="17"/>
        <v>0.2126222161</v>
      </c>
      <c r="N45" s="1">
        <f t="shared" si="17"/>
        <v>0.1099779492</v>
      </c>
      <c r="O45" s="1">
        <f t="shared" si="17"/>
        <v>0.630532966</v>
      </c>
      <c r="P45" s="1">
        <f t="shared" si="17"/>
        <v>1.1657583791</v>
      </c>
      <c r="Q45" s="1">
        <f t="shared" si="17"/>
        <v>0.7588405734</v>
      </c>
      <c r="T45" s="1">
        <f t="shared" ref="T45:Z45" si="18">T7*5.4819/100</f>
        <v>2.4889360932</v>
      </c>
      <c r="U45" s="1">
        <f t="shared" si="18"/>
        <v>0.0533498507999999</v>
      </c>
      <c r="V45" s="1">
        <f t="shared" si="18"/>
        <v>0.3334913865</v>
      </c>
      <c r="W45" s="1">
        <f t="shared" si="18"/>
        <v>0.1466134155</v>
      </c>
      <c r="X45" s="1">
        <f t="shared" si="18"/>
        <v>0.6535630818</v>
      </c>
      <c r="Y45" s="1">
        <f t="shared" si="18"/>
        <v>0.9671661351</v>
      </c>
      <c r="Z45" s="1">
        <f t="shared" si="18"/>
        <v>0.8387800371</v>
      </c>
      <c r="AD45" s="1">
        <f t="shared" ref="AD45:AI45" si="19">AD7*3.5838/100</f>
        <v>0.13291525764</v>
      </c>
      <c r="AE45" s="1">
        <f t="shared" si="19"/>
        <v>0.21796528248</v>
      </c>
      <c r="AF45" s="1">
        <f t="shared" si="19"/>
        <v>0.19619369748</v>
      </c>
      <c r="AG45" s="1">
        <f t="shared" si="19"/>
        <v>0.706295304</v>
      </c>
      <c r="AH45" s="1">
        <f t="shared" si="19"/>
        <v>1.526017878</v>
      </c>
      <c r="AI45" s="1">
        <f t="shared" si="19"/>
        <v>0.8044125804</v>
      </c>
    </row>
    <row r="46" s="1" customFormat="1" spans="1:35">
      <c r="A46" s="1" t="s">
        <v>98</v>
      </c>
      <c r="B46" s="1"/>
      <c r="C46" s="1">
        <f t="shared" ref="C46:H46" si="20">C8*3.19621/100</f>
        <v>0.289861727932</v>
      </c>
      <c r="D46" s="1">
        <f t="shared" si="20"/>
        <v>0.162322081818</v>
      </c>
      <c r="E46" s="1">
        <f t="shared" si="20"/>
        <v>0.14686265329</v>
      </c>
      <c r="F46" s="1">
        <f t="shared" si="20"/>
        <v>0.68407523767</v>
      </c>
      <c r="G46" s="1">
        <f t="shared" si="20"/>
        <v>1.13239482953</v>
      </c>
      <c r="H46" s="1">
        <f t="shared" si="20"/>
        <v>0.78069346976</v>
      </c>
      <c r="L46" s="1">
        <f t="shared" ref="L46:Q46" si="21">L8*2.8668/100</f>
        <v>0.1455933048</v>
      </c>
      <c r="M46" s="1">
        <f t="shared" si="21"/>
        <v>0.1559940552</v>
      </c>
      <c r="N46" s="1">
        <f t="shared" si="21"/>
        <v>0.1559911884</v>
      </c>
      <c r="O46" s="1">
        <f t="shared" si="21"/>
        <v>0.6239704872</v>
      </c>
      <c r="P46" s="1">
        <f t="shared" si="21"/>
        <v>2.1492342264</v>
      </c>
      <c r="Q46" s="1">
        <f t="shared" si="21"/>
        <v>0.7175657736</v>
      </c>
      <c r="T46" s="1">
        <f t="shared" ref="T46:Z46" si="22">T8*17.28769/100</f>
        <v>13.27960822426</v>
      </c>
      <c r="U46" s="1">
        <f t="shared" si="22"/>
        <v>0.525787803660002</v>
      </c>
      <c r="V46" s="1">
        <f t="shared" si="22"/>
        <v>0.420298319279998</v>
      </c>
      <c r="W46" s="1">
        <f t="shared" si="22"/>
        <v>0.2525731509</v>
      </c>
      <c r="X46" s="1">
        <f t="shared" si="22"/>
        <v>0.736230854030001</v>
      </c>
      <c r="Y46" s="1">
        <f t="shared" si="22"/>
        <v>1.15658103638</v>
      </c>
      <c r="Z46" s="1">
        <f t="shared" si="22"/>
        <v>0.916610611489999</v>
      </c>
      <c r="AD46" s="1">
        <f t="shared" ref="AD46:AI46" si="23">AD8*3.5848/100</f>
        <v>0.17743182688</v>
      </c>
      <c r="AE46" s="1">
        <f t="shared" si="23"/>
        <v>0.23992851312</v>
      </c>
      <c r="AF46" s="1">
        <f t="shared" si="23"/>
        <v>0.2485807864</v>
      </c>
      <c r="AG46" s="1">
        <f t="shared" si="23"/>
        <v>0.667202976</v>
      </c>
      <c r="AH46" s="1">
        <f t="shared" si="23"/>
        <v>1.4392219192</v>
      </c>
      <c r="AI46" s="1">
        <f t="shared" si="23"/>
        <v>0.8124339784</v>
      </c>
    </row>
    <row r="47" s="1" customFormat="1" spans="1:35">
      <c r="A47" s="1" t="s">
        <v>99</v>
      </c>
      <c r="B47" s="1"/>
      <c r="C47" s="1">
        <f t="shared" ref="C47:H47" si="24">C9*3.41062/100</f>
        <v>0.42065563894</v>
      </c>
      <c r="D47" s="1">
        <f t="shared" si="24"/>
        <v>0.18558547668</v>
      </c>
      <c r="E47" s="1">
        <f t="shared" si="24"/>
        <v>0.13609396986</v>
      </c>
      <c r="F47" s="1">
        <f t="shared" si="24"/>
        <v>0.70934415822</v>
      </c>
      <c r="G47" s="1">
        <f t="shared" si="24"/>
        <v>1.17536445378</v>
      </c>
      <c r="H47" s="1">
        <f t="shared" si="24"/>
        <v>0.78357630252</v>
      </c>
      <c r="K47" s="1">
        <f t="shared" ref="K47:Q47" si="25">K9*3.28981/100</f>
        <v>0.059669915818</v>
      </c>
      <c r="L47" s="1">
        <f t="shared" si="25"/>
        <v>0.198900267695</v>
      </c>
      <c r="M47" s="1">
        <f t="shared" si="25"/>
        <v>0.238681308177</v>
      </c>
      <c r="N47" s="1">
        <f t="shared" si="25"/>
        <v>0.1471860994</v>
      </c>
      <c r="O47" s="1">
        <f t="shared" si="25"/>
        <v>0.65636973196</v>
      </c>
      <c r="P47" s="1">
        <f t="shared" si="25"/>
        <v>1.07406045861</v>
      </c>
      <c r="Q47" s="1">
        <f t="shared" si="25"/>
        <v>0.76775611894</v>
      </c>
      <c r="T47" s="1">
        <f t="shared" ref="T47:Z47" si="26">T9*24.87847/100</f>
        <v>20.99349788174</v>
      </c>
      <c r="U47" s="1">
        <f t="shared" si="26"/>
        <v>0.544490194419998</v>
      </c>
      <c r="V47" s="1">
        <f t="shared" si="26"/>
        <v>0.45475355313</v>
      </c>
      <c r="W47" s="1">
        <f t="shared" si="26"/>
        <v>0.15133573301</v>
      </c>
      <c r="X47" s="1">
        <f t="shared" si="26"/>
        <v>0.756628908109998</v>
      </c>
      <c r="Y47" s="1">
        <f t="shared" si="26"/>
        <v>1.05930037413</v>
      </c>
      <c r="Z47" s="1">
        <f t="shared" si="26"/>
        <v>0.91846335546</v>
      </c>
      <c r="AD47" s="1">
        <f t="shared" ref="AD47:AI47" si="27">AD9*3.1627/100</f>
        <v>0.15739144923</v>
      </c>
      <c r="AE47" s="1">
        <f t="shared" si="27"/>
        <v>0.20007271827</v>
      </c>
      <c r="AF47" s="1">
        <f t="shared" si="27"/>
        <v>0.1539633987</v>
      </c>
      <c r="AG47" s="1">
        <f t="shared" si="27"/>
        <v>0.4809106739</v>
      </c>
      <c r="AH47" s="1">
        <f t="shared" si="27"/>
        <v>1.3658625982</v>
      </c>
      <c r="AI47" s="1">
        <f t="shared" si="27"/>
        <v>0.7694754219</v>
      </c>
    </row>
    <row r="48" s="1" customFormat="1" spans="1:35">
      <c r="A48" s="1" t="s">
        <v>100</v>
      </c>
      <c r="B48" s="1"/>
      <c r="C48" s="1">
        <f t="shared" ref="C48:H48" si="28">C10*3.96417/100</f>
        <v>0.7669479699</v>
      </c>
      <c r="D48" s="1">
        <f t="shared" si="28"/>
        <v>0.22529170944</v>
      </c>
      <c r="E48" s="1">
        <f t="shared" si="28"/>
        <v>0.1821536115</v>
      </c>
      <c r="F48" s="1">
        <f t="shared" si="28"/>
        <v>0.79091534172</v>
      </c>
      <c r="G48" s="1">
        <f t="shared" si="28"/>
        <v>1.1839786539</v>
      </c>
      <c r="H48" s="1">
        <f t="shared" si="28"/>
        <v>0.81488271354</v>
      </c>
      <c r="M48" s="1">
        <f>M10*2.74096/100</f>
        <v>0.188917378848</v>
      </c>
      <c r="N48" s="1">
        <f>N10*2.74096/100</f>
        <v>0.198859937152</v>
      </c>
      <c r="O48" s="1">
        <f>O10*2.74096/100</f>
        <v>0.55680957824</v>
      </c>
      <c r="P48" s="1">
        <f>P10*2.74096/100</f>
        <v>1.05064560048</v>
      </c>
      <c r="Q48" s="1">
        <f>Q10*2.74096/100</f>
        <v>0.74572750528</v>
      </c>
      <c r="T48" s="1">
        <f t="shared" ref="T48:Z48" si="29">T10*10.83687/100</f>
        <v>5.65409357502</v>
      </c>
      <c r="U48" s="1">
        <f t="shared" si="29"/>
        <v>1.38426926319</v>
      </c>
      <c r="V48" s="1">
        <f t="shared" si="29"/>
        <v>0.856806289679999</v>
      </c>
      <c r="W48" s="1">
        <f t="shared" si="29"/>
        <v>0.23742498483</v>
      </c>
      <c r="X48" s="1">
        <f t="shared" si="29"/>
        <v>0.68533449567</v>
      </c>
      <c r="Y48" s="1">
        <f t="shared" si="29"/>
        <v>1.12060821609</v>
      </c>
      <c r="Z48" s="1">
        <f t="shared" si="29"/>
        <v>0.898333175519999</v>
      </c>
      <c r="AD48" s="1">
        <f t="shared" ref="AD48:AI48" si="30">AD10*3.162/100</f>
        <v>0.1773806112</v>
      </c>
      <c r="AE48" s="1">
        <f t="shared" si="30"/>
        <v>0.2308652088</v>
      </c>
      <c r="AF48" s="1">
        <f t="shared" si="30"/>
        <v>0.19229703</v>
      </c>
      <c r="AG48" s="1">
        <f t="shared" si="30"/>
        <v>0.57712824</v>
      </c>
      <c r="AH48" s="1">
        <f t="shared" si="30"/>
        <v>1.19242182</v>
      </c>
      <c r="AI48" s="1">
        <f t="shared" si="30"/>
        <v>0.769320924</v>
      </c>
    </row>
    <row r="49" s="1" customFormat="1" spans="1:35">
      <c r="A49" s="1" t="s">
        <v>101</v>
      </c>
      <c r="B49" s="1"/>
      <c r="C49" s="1">
        <f t="shared" ref="C49:H49" si="31">C11*4.05227/100</f>
        <v>0.367497124484</v>
      </c>
      <c r="D49" s="1">
        <f t="shared" si="31"/>
        <v>0.318499507006</v>
      </c>
      <c r="E49" s="1">
        <f t="shared" si="31"/>
        <v>0.23029860864</v>
      </c>
      <c r="F49" s="1">
        <f t="shared" si="31"/>
        <v>0.94569040671</v>
      </c>
      <c r="G49" s="1">
        <f t="shared" si="31"/>
        <v>1.38179165184</v>
      </c>
      <c r="H49" s="1">
        <f t="shared" si="31"/>
        <v>0.80849270132</v>
      </c>
      <c r="L49" s="1">
        <f t="shared" ref="L49:Q49" si="32">L11*3.71065/100</f>
        <v>0.25575209847</v>
      </c>
      <c r="M49" s="1">
        <f t="shared" si="32"/>
        <v>0.26921211028</v>
      </c>
      <c r="N49" s="1">
        <f t="shared" si="32"/>
        <v>0.21536983665</v>
      </c>
      <c r="O49" s="1">
        <f t="shared" si="32"/>
        <v>0.8076378151</v>
      </c>
      <c r="P49" s="1">
        <f t="shared" si="32"/>
        <v>1.3774749143</v>
      </c>
      <c r="Q49" s="1">
        <f t="shared" si="32"/>
        <v>0.7852032252</v>
      </c>
      <c r="T49" s="1">
        <f t="shared" ref="T49:Z49" si="33">T11*20.11508/100</f>
        <v>15.3449899288</v>
      </c>
      <c r="U49" s="1">
        <f t="shared" si="33"/>
        <v>0.905822282559999</v>
      </c>
      <c r="V49" s="1">
        <f t="shared" si="33"/>
        <v>0.490023463880002</v>
      </c>
      <c r="W49" s="1">
        <f t="shared" si="33"/>
        <v>0.317898724319999</v>
      </c>
      <c r="X49" s="1">
        <f t="shared" si="33"/>
        <v>0.783059949319999</v>
      </c>
      <c r="Y49" s="1">
        <f t="shared" si="33"/>
        <v>1.41877693764</v>
      </c>
      <c r="Z49" s="1">
        <f t="shared" si="33"/>
        <v>0.854508713479999</v>
      </c>
      <c r="AC49" s="1">
        <f t="shared" ref="AC49:AI49" si="34">AC11*4.3443/100</f>
        <v>0.4563600264</v>
      </c>
      <c r="AD49" s="1">
        <f t="shared" si="34"/>
        <v>0.3012467949</v>
      </c>
      <c r="AE49" s="1">
        <f t="shared" si="34"/>
        <v>0.3435255225</v>
      </c>
      <c r="AF49" s="1">
        <f t="shared" si="34"/>
        <v>0.2114848683</v>
      </c>
      <c r="AG49" s="1">
        <f t="shared" si="34"/>
        <v>0.8614616571</v>
      </c>
      <c r="AH49" s="1">
        <f t="shared" si="34"/>
        <v>1.331832051</v>
      </c>
      <c r="AI49" s="1">
        <f t="shared" si="34"/>
        <v>0.8349831486</v>
      </c>
    </row>
    <row r="50" s="1" customFormat="1" spans="1:35">
      <c r="A50" s="1" t="s">
        <v>102</v>
      </c>
      <c r="B50" s="1"/>
      <c r="C50" s="1">
        <f t="shared" ref="C50:H50" si="35">C12*3.55217/100</f>
        <v>0.51543052351</v>
      </c>
      <c r="D50" s="1">
        <f t="shared" si="35"/>
        <v>0.19328422621</v>
      </c>
      <c r="E50" s="1">
        <f t="shared" si="35"/>
        <v>0.1589240858</v>
      </c>
      <c r="F50" s="1">
        <f t="shared" si="35"/>
        <v>0.70012560266</v>
      </c>
      <c r="G50" s="1">
        <f t="shared" si="35"/>
        <v>1.18119243359</v>
      </c>
      <c r="H50" s="1">
        <f t="shared" si="35"/>
        <v>0.80321312823</v>
      </c>
      <c r="L50" s="1">
        <f t="shared" ref="L50:Q50" si="36">L12*3.24623/100</f>
        <v>0.262995595811</v>
      </c>
      <c r="M50" s="1">
        <f t="shared" si="36"/>
        <v>0.168788702719</v>
      </c>
      <c r="N50" s="1">
        <f t="shared" si="36"/>
        <v>0.1452363302</v>
      </c>
      <c r="O50" s="1">
        <f t="shared" si="36"/>
        <v>0.64767482468</v>
      </c>
      <c r="P50" s="1">
        <f t="shared" si="36"/>
        <v>1.26787680487</v>
      </c>
      <c r="Q50" s="1">
        <f t="shared" si="36"/>
        <v>0.75365774172</v>
      </c>
      <c r="T50" s="1">
        <f t="shared" ref="T50:Z50" si="37">T12*10.4592/100</f>
        <v>6.6459011904</v>
      </c>
      <c r="U50" s="1">
        <f t="shared" si="37"/>
        <v>0.343752067199999</v>
      </c>
      <c r="V50" s="1">
        <f t="shared" si="37"/>
        <v>0.356188056</v>
      </c>
      <c r="W50" s="1">
        <f t="shared" si="37"/>
        <v>0.126922392</v>
      </c>
      <c r="X50" s="1">
        <f t="shared" si="37"/>
        <v>0.827186750400001</v>
      </c>
      <c r="Y50" s="1">
        <f t="shared" si="37"/>
        <v>1.2726022416</v>
      </c>
      <c r="Z50" s="1">
        <f t="shared" si="37"/>
        <v>0.8866473024</v>
      </c>
      <c r="AD50" s="1">
        <f t="shared" ref="AD50:AI50" si="38">AD12*3.7952/100</f>
        <v>0.29353746688</v>
      </c>
      <c r="AE50" s="1">
        <f t="shared" si="38"/>
        <v>0.29087399552</v>
      </c>
      <c r="AF50" s="1">
        <f t="shared" si="38"/>
        <v>0.2308202688</v>
      </c>
      <c r="AG50" s="1">
        <f t="shared" si="38"/>
        <v>0.7617687488</v>
      </c>
      <c r="AH50" s="1">
        <f t="shared" si="38"/>
        <v>1.3851075776</v>
      </c>
      <c r="AI50" s="1">
        <f t="shared" si="38"/>
        <v>0.8330919424</v>
      </c>
    </row>
    <row r="51" s="1" customFormat="1" spans="1:35">
      <c r="A51" s="1" t="s">
        <v>103</v>
      </c>
      <c r="B51" s="1">
        <f t="shared" ref="B51:H51" si="39">B13*4.82146/100</f>
        <v>0.85701933646</v>
      </c>
      <c r="C51" s="1">
        <f t="shared" si="39"/>
        <v>0.36729400134</v>
      </c>
      <c r="D51" s="1">
        <f t="shared" si="39"/>
        <v>0.3206511973</v>
      </c>
      <c r="E51" s="1">
        <f t="shared" si="39"/>
        <v>0.2157121204</v>
      </c>
      <c r="F51" s="1">
        <f t="shared" si="39"/>
        <v>0.84536104618</v>
      </c>
      <c r="G51" s="1">
        <f t="shared" si="39"/>
        <v>1.38755350902</v>
      </c>
      <c r="H51" s="1">
        <f t="shared" si="39"/>
        <v>0.8278687893</v>
      </c>
      <c r="L51" s="1">
        <f t="shared" ref="L51:Q51" si="40">L13*3.3732/100</f>
        <v>0.24473038248</v>
      </c>
      <c r="M51" s="1">
        <f t="shared" si="40"/>
        <v>0.31407055632</v>
      </c>
      <c r="N51" s="1">
        <f t="shared" si="40"/>
        <v>0.1835493048</v>
      </c>
      <c r="O51" s="1">
        <f t="shared" si="40"/>
        <v>0.6852419676</v>
      </c>
      <c r="P51" s="1">
        <f t="shared" si="40"/>
        <v>1.1706285816</v>
      </c>
      <c r="Q51" s="1">
        <f t="shared" si="40"/>
        <v>0.7749792072</v>
      </c>
      <c r="T51" s="1">
        <f t="shared" ref="T51:Z51" si="41">T13*4.21684/100</f>
        <v>0.50032384916</v>
      </c>
      <c r="U51" s="1">
        <f t="shared" si="41"/>
        <v>0.18972828212</v>
      </c>
      <c r="V51" s="1">
        <f t="shared" si="41"/>
        <v>0.348838089</v>
      </c>
      <c r="W51" s="1">
        <f t="shared" si="41"/>
        <v>0.24115686276</v>
      </c>
      <c r="X51" s="1">
        <f t="shared" si="41"/>
        <v>0.76945101164</v>
      </c>
      <c r="Y51" s="1">
        <f t="shared" si="41"/>
        <v>1.35949234864</v>
      </c>
      <c r="Z51" s="1">
        <f t="shared" si="41"/>
        <v>0.80784955668</v>
      </c>
      <c r="AC51" s="1">
        <f t="shared" ref="AC51:AI51" si="42">AC13*4.2178/100</f>
        <v>0.5735744042</v>
      </c>
      <c r="AD51" s="1">
        <f t="shared" si="42"/>
        <v>0.2925550436</v>
      </c>
      <c r="AE51" s="1">
        <f t="shared" si="42"/>
        <v>0.3233407658</v>
      </c>
      <c r="AF51" s="1">
        <f t="shared" si="42"/>
        <v>0.2821328598</v>
      </c>
      <c r="AG51" s="1">
        <f t="shared" si="42"/>
        <v>0.7541974714</v>
      </c>
      <c r="AH51" s="1">
        <f t="shared" si="42"/>
        <v>1.1802922808</v>
      </c>
      <c r="AI51" s="1">
        <f t="shared" si="42"/>
        <v>0.8117071744</v>
      </c>
    </row>
    <row r="52" s="1" customFormat="1" spans="1:35">
      <c r="A52" s="1" t="s">
        <v>104</v>
      </c>
      <c r="B52" s="1"/>
      <c r="C52" s="1">
        <f t="shared" ref="C52:H52" si="43">C14*2.59189/100</f>
        <v>0.225654349613</v>
      </c>
      <c r="D52" s="1">
        <f t="shared" si="43"/>
        <v>0.141033288137</v>
      </c>
      <c r="E52" s="1">
        <f t="shared" si="43"/>
        <v>0.14103510246</v>
      </c>
      <c r="F52" s="1">
        <f t="shared" si="43"/>
        <v>0.49518576828</v>
      </c>
      <c r="G52" s="1">
        <f t="shared" si="43"/>
        <v>0.86814059605</v>
      </c>
      <c r="H52" s="1">
        <f t="shared" si="43"/>
        <v>0.72084089546</v>
      </c>
      <c r="M52" s="1">
        <f>M14*2.74123/100</f>
        <v>0.155789309237</v>
      </c>
      <c r="N52" s="1">
        <f>N14*2.74123/100</f>
        <v>0.159104004553</v>
      </c>
      <c r="O52" s="1">
        <f>O14*2.74123/100</f>
        <v>0.64636010416</v>
      </c>
      <c r="P52" s="1">
        <f>P14*2.74123/100</f>
        <v>1.01760214183</v>
      </c>
      <c r="Q52" s="1">
        <f>Q14*2.74123/100</f>
        <v>0.76237444022</v>
      </c>
      <c r="T52" s="1">
        <f t="shared" ref="T52:Z52" si="44">T14*8.01248/100</f>
        <v>4.23775259712</v>
      </c>
      <c r="U52" s="1">
        <f t="shared" si="44"/>
        <v>0.3896869648</v>
      </c>
      <c r="V52" s="1">
        <f t="shared" si="44"/>
        <v>0.419453328000001</v>
      </c>
      <c r="W52" s="1">
        <f t="shared" si="44"/>
        <v>0.165770198719999</v>
      </c>
      <c r="X52" s="1">
        <f t="shared" si="44"/>
        <v>0.80904414304</v>
      </c>
      <c r="Y52" s="1">
        <f t="shared" si="44"/>
        <v>1.14040025344</v>
      </c>
      <c r="Z52" s="1">
        <f t="shared" si="44"/>
        <v>0.85037251488</v>
      </c>
      <c r="AD52" s="1">
        <f t="shared" ref="AD52:AI52" si="45">AD14*3.2882/100</f>
        <v>0.19609082054</v>
      </c>
      <c r="AE52" s="1">
        <f t="shared" si="45"/>
        <v>0.21192547646</v>
      </c>
      <c r="AF52" s="1">
        <f t="shared" si="45"/>
        <v>0.16013534</v>
      </c>
      <c r="AG52" s="1">
        <f t="shared" si="45"/>
        <v>0.640064571</v>
      </c>
      <c r="AH52" s="1">
        <f t="shared" si="45"/>
        <v>1.2799252736</v>
      </c>
      <c r="AI52" s="1">
        <f t="shared" si="45"/>
        <v>0.8000585184</v>
      </c>
    </row>
    <row r="53" s="1" customFormat="1" spans="1:35">
      <c r="A53" s="1" t="s">
        <v>105</v>
      </c>
      <c r="B53" s="1"/>
      <c r="C53" s="1">
        <f t="shared" ref="C53:H53" si="46">C15*3.22959/100</f>
        <v>0.42957099549</v>
      </c>
      <c r="D53" s="1">
        <f t="shared" si="46"/>
        <v>0.20307016002</v>
      </c>
      <c r="E53" s="1">
        <f t="shared" si="46"/>
        <v>0.12887032977</v>
      </c>
      <c r="F53" s="1">
        <f t="shared" si="46"/>
        <v>0.65216725665</v>
      </c>
      <c r="G53" s="1">
        <f t="shared" si="46"/>
        <v>1.03487367165</v>
      </c>
      <c r="H53" s="1">
        <f t="shared" si="46"/>
        <v>0.78103758642</v>
      </c>
      <c r="M53" s="1">
        <f>M15*2.53058/100</f>
        <v>0.143817669502</v>
      </c>
      <c r="N53" s="1">
        <f>N15*2.53058/100</f>
        <v>0.137696702598</v>
      </c>
      <c r="O53" s="1">
        <f>O15*2.53058/100</f>
        <v>0.5507933899</v>
      </c>
      <c r="P53" s="1">
        <f>P15*2.53058/100</f>
        <v>0.98836356944</v>
      </c>
      <c r="Q53" s="1">
        <f>Q15*2.53058/100</f>
        <v>0.70990866856</v>
      </c>
      <c r="T53" s="1">
        <f t="shared" ref="T53:Z53" si="47">T15*6.32433/100</f>
        <v>2.69250760554</v>
      </c>
      <c r="U53" s="1">
        <f t="shared" si="47"/>
        <v>0.46170138732</v>
      </c>
      <c r="V53" s="1">
        <f t="shared" si="47"/>
        <v>0.34614955389</v>
      </c>
      <c r="W53" s="1">
        <f t="shared" si="47"/>
        <v>0.1539974355</v>
      </c>
      <c r="X53" s="1">
        <f t="shared" si="47"/>
        <v>0.6923244051</v>
      </c>
      <c r="Y53" s="1">
        <f t="shared" si="47"/>
        <v>1.11568137963</v>
      </c>
      <c r="Z53" s="1">
        <f t="shared" si="47"/>
        <v>0.86196823302</v>
      </c>
      <c r="AD53" s="1">
        <f t="shared" ref="AD53:AI53" si="48">AD15*2.9513/100</f>
        <v>0</v>
      </c>
      <c r="AE53" s="1">
        <f t="shared" si="48"/>
        <v>0.17685163529</v>
      </c>
      <c r="AF53" s="1">
        <f t="shared" si="48"/>
        <v>0.19023401001</v>
      </c>
      <c r="AG53" s="1">
        <f t="shared" si="48"/>
        <v>0.5815861293</v>
      </c>
      <c r="AH53" s="1">
        <f t="shared" si="48"/>
        <v>1.2387402951</v>
      </c>
      <c r="AI53" s="1">
        <f t="shared" si="48"/>
        <v>0.7638879303</v>
      </c>
    </row>
    <row r="54" s="1" customFormat="1" spans="1:35">
      <c r="A54" s="1" t="s">
        <v>106</v>
      </c>
      <c r="B54" s="1"/>
      <c r="C54" s="1">
        <f t="shared" ref="C54:H54" si="49">C16*3.15042/100</f>
        <v>0.247614505866</v>
      </c>
      <c r="D54" s="1">
        <f t="shared" si="49"/>
        <v>0.198091163634</v>
      </c>
      <c r="E54" s="1">
        <f t="shared" si="49"/>
        <v>0.13333207524</v>
      </c>
      <c r="F54" s="1">
        <f t="shared" si="49"/>
        <v>0.69713123844</v>
      </c>
      <c r="G54" s="1">
        <f t="shared" si="49"/>
        <v>1.08569458998</v>
      </c>
      <c r="H54" s="1">
        <f t="shared" si="49"/>
        <v>0.78855642684</v>
      </c>
      <c r="M54" s="1">
        <f>M16*2.82463/100</f>
        <v>0.177606802677</v>
      </c>
      <c r="N54" s="1">
        <f>N16*2.82463/100</f>
        <v>0.181022345273</v>
      </c>
      <c r="O54" s="1">
        <f>O16*2.82463/100</f>
        <v>0.62162197336</v>
      </c>
      <c r="P54" s="1">
        <f>P16*2.82463/100</f>
        <v>1.10321291447</v>
      </c>
      <c r="Q54" s="1">
        <f>Q16*2.82463/100</f>
        <v>0.74116596422</v>
      </c>
      <c r="T54" s="1">
        <f t="shared" ref="T54:Z54" si="50">T16*4.63875/100</f>
        <v>1.42888807875</v>
      </c>
      <c r="U54" s="1">
        <f t="shared" si="50"/>
        <v>0.208799415</v>
      </c>
      <c r="V54" s="1">
        <f t="shared" si="50"/>
        <v>0.2538602325</v>
      </c>
      <c r="W54" s="1">
        <f t="shared" si="50"/>
        <v>0.15800974125</v>
      </c>
      <c r="X54" s="1">
        <f t="shared" si="50"/>
        <v>0.70534977</v>
      </c>
      <c r="Y54" s="1">
        <f t="shared" si="50"/>
        <v>1.08364911</v>
      </c>
      <c r="Z54" s="1">
        <f t="shared" si="50"/>
        <v>0.8001936525</v>
      </c>
      <c r="AD54" s="1">
        <f t="shared" ref="AD54:AI54" si="51">AD16*3.2891/100</f>
        <v>0.19785285031</v>
      </c>
      <c r="AE54" s="1">
        <f t="shared" si="51"/>
        <v>0.20004273309</v>
      </c>
      <c r="AF54" s="1">
        <f t="shared" si="51"/>
        <v>0.1800584904</v>
      </c>
      <c r="AG54" s="1">
        <f t="shared" si="51"/>
        <v>0.65219958592</v>
      </c>
      <c r="AH54" s="1">
        <f t="shared" si="51"/>
        <v>1.2685894245</v>
      </c>
      <c r="AI54" s="1">
        <f t="shared" si="51"/>
        <v>0.7903773082</v>
      </c>
    </row>
    <row r="55" s="1" customFormat="1" spans="1:35">
      <c r="A55" s="1" t="s">
        <v>107</v>
      </c>
      <c r="B55" s="1"/>
      <c r="C55" s="1">
        <f t="shared" ref="C55:H55" si="52">C17*3.23946/100</f>
        <v>0.215441583084</v>
      </c>
      <c r="D55" s="1">
        <f t="shared" si="52"/>
        <v>0.176270680656</v>
      </c>
      <c r="E55" s="1">
        <f t="shared" si="52"/>
        <v>0.17627197644</v>
      </c>
      <c r="F55" s="1">
        <f t="shared" si="52"/>
        <v>0.76383875232</v>
      </c>
      <c r="G55" s="1">
        <f t="shared" si="52"/>
        <v>1.1359652409</v>
      </c>
      <c r="H55" s="1">
        <f t="shared" si="52"/>
        <v>0.7716717666</v>
      </c>
      <c r="M55" s="1">
        <f>M17*2.9518/100</f>
        <v>0.19631063972</v>
      </c>
      <c r="N55" s="1">
        <f>N17*2.9518/100</f>
        <v>0.14990893408</v>
      </c>
      <c r="O55" s="1">
        <f>O17*2.9518/100</f>
        <v>0.6960108256</v>
      </c>
      <c r="P55" s="1">
        <f>P17*2.9518/100</f>
        <v>1.170728157</v>
      </c>
      <c r="Q55" s="1">
        <f>Q17*2.9518/100</f>
        <v>0.7388414436</v>
      </c>
      <c r="T55" s="1">
        <f t="shared" ref="T55:Z55" si="53">T17*8.22334/100</f>
        <v>3.80579464536</v>
      </c>
      <c r="U55" s="1">
        <f t="shared" si="53"/>
        <v>0.25016222614</v>
      </c>
      <c r="V55" s="1">
        <f t="shared" si="53"/>
        <v>1.48021764668</v>
      </c>
      <c r="W55" s="1">
        <f t="shared" si="53"/>
        <v>0.17013268126</v>
      </c>
      <c r="X55" s="1">
        <f t="shared" si="53"/>
        <v>0.63009698082</v>
      </c>
      <c r="Y55" s="1">
        <f t="shared" si="53"/>
        <v>1.05043300492</v>
      </c>
      <c r="Z55" s="1">
        <f t="shared" si="53"/>
        <v>0.836502814820001</v>
      </c>
      <c r="AD55" s="1">
        <f t="shared" ref="AD55:AI55" si="54">AD17*3.795/100</f>
        <v>0.2986023645</v>
      </c>
      <c r="AE55" s="1">
        <f t="shared" si="54"/>
        <v>0.3231742305</v>
      </c>
      <c r="AF55" s="1">
        <f t="shared" si="54"/>
        <v>0.207757275</v>
      </c>
      <c r="AG55" s="1">
        <f t="shared" si="54"/>
        <v>0.807936525</v>
      </c>
      <c r="AH55" s="1">
        <f t="shared" si="54"/>
        <v>1.36205586</v>
      </c>
      <c r="AI55" s="1">
        <f t="shared" si="54"/>
        <v>0.795473745</v>
      </c>
    </row>
    <row r="56" s="1" customFormat="1" spans="1:35">
      <c r="A56" s="1" t="s">
        <v>108</v>
      </c>
      <c r="B56" s="1"/>
      <c r="C56" s="1">
        <f t="shared" ref="C56:H56" si="55">C18*1.5577/100</f>
        <v>0.09794490483</v>
      </c>
      <c r="D56" s="1">
        <f t="shared" si="55"/>
        <v>0.06215705887</v>
      </c>
      <c r="E56" s="1">
        <f t="shared" si="55"/>
        <v>0.0753428336</v>
      </c>
      <c r="F56" s="1">
        <f t="shared" si="55"/>
        <v>0.1977733805</v>
      </c>
      <c r="G56" s="1">
        <f t="shared" si="55"/>
        <v>0.5029081181</v>
      </c>
      <c r="H56" s="1">
        <f t="shared" si="55"/>
        <v>0.6215737041</v>
      </c>
      <c r="L56" s="1">
        <f t="shared" ref="L56:Q56" si="56">L18*2.86765/100</f>
        <v>0.232324672105</v>
      </c>
      <c r="M56" s="1">
        <f t="shared" si="56"/>
        <v>0.190713923545</v>
      </c>
      <c r="N56" s="1">
        <f t="shared" si="56"/>
        <v>0.173378119</v>
      </c>
      <c r="O56" s="1">
        <f t="shared" si="56"/>
        <v>0.468115186</v>
      </c>
      <c r="P56" s="1">
        <f t="shared" si="56"/>
        <v>1.05759792295</v>
      </c>
      <c r="Q56" s="1">
        <f t="shared" si="56"/>
        <v>0.7455201764</v>
      </c>
      <c r="T56" s="1">
        <f t="shared" ref="T56:Z56" si="57">T18*5.48144/100</f>
        <v>1.25776025952</v>
      </c>
      <c r="U56" s="1">
        <f t="shared" si="57"/>
        <v>0.21349112512</v>
      </c>
      <c r="V56" s="1">
        <f t="shared" si="57"/>
        <v>1.35362516368</v>
      </c>
      <c r="W56" s="1">
        <f t="shared" si="57"/>
        <v>0.14677103744</v>
      </c>
      <c r="X56" s="1">
        <f t="shared" si="57"/>
        <v>0.56685763616</v>
      </c>
      <c r="Y56" s="1">
        <f t="shared" si="57"/>
        <v>1.1201870784</v>
      </c>
      <c r="Z56" s="1">
        <f t="shared" si="57"/>
        <v>0.82274769968</v>
      </c>
      <c r="AD56" s="1">
        <f t="shared" ref="AD56:AI56" si="58">AD18*3.03591/100</f>
        <v>0.184292487822</v>
      </c>
      <c r="AE56" s="1">
        <f t="shared" si="58"/>
        <v>0.203189813208</v>
      </c>
      <c r="AF56" s="1">
        <f t="shared" si="58"/>
        <v>0.15872041071</v>
      </c>
      <c r="AG56" s="1">
        <f t="shared" si="58"/>
        <v>0.48751857144</v>
      </c>
      <c r="AH56" s="1">
        <f t="shared" si="58"/>
        <v>1.21882982361</v>
      </c>
      <c r="AI56" s="1">
        <f t="shared" si="58"/>
        <v>0.7681763073</v>
      </c>
    </row>
    <row r="59" spans="1:35">
      <c r="A59" t="s">
        <v>113</v>
      </c>
      <c r="B59" t="s">
        <v>56</v>
      </c>
      <c r="C59" t="s">
        <v>63</v>
      </c>
      <c r="D59" t="s">
        <v>64</v>
      </c>
      <c r="E59" t="s">
        <v>65</v>
      </c>
      <c r="F59" t="s">
        <v>66</v>
      </c>
      <c r="G59" t="s">
        <v>67</v>
      </c>
      <c r="H59" t="s">
        <v>68</v>
      </c>
    </row>
    <row r="60" spans="1:35">
      <c r="A60" t="s">
        <v>92</v>
      </c>
      <c r="B60">
        <v>0.585938</v>
      </c>
      <c r="C60">
        <f>1.67578-1.38281</f>
        <v>0.29297</v>
      </c>
      <c r="D60">
        <f>4.60547-4.37109</f>
        <v>0.234380000000001</v>
      </c>
      <c r="E60">
        <f>5.77734-4.80469</f>
        <v>0.97265</v>
      </c>
      <c r="F60">
        <f>7.61719-6.38672</f>
        <v>1.23047</v>
      </c>
      <c r="G60">
        <f>8.37891-7.79297</f>
        <v>0.585939999999999</v>
      </c>
      <c r="H60">
        <f>8.84766-8.37891</f>
        <v>0.46875</v>
      </c>
    </row>
    <row r="61" spans="1:35">
      <c r="A61" t="s">
        <v>93</v>
      </c>
      <c r="B61">
        <v>0.269531</v>
      </c>
      <c r="C61">
        <f>1.69922-0.269531</f>
        <v>1.429689</v>
      </c>
      <c r="D61">
        <f>3.84375-3.55078</f>
        <v>0.29297</v>
      </c>
      <c r="E61">
        <f>4.39453-3.96094</f>
        <v>0.43359</v>
      </c>
      <c r="F61">
        <f>5.25-4.6875</f>
        <v>0.5625</v>
      </c>
      <c r="G61">
        <f>5.68359-5.42578</f>
        <v>0.25781</v>
      </c>
      <c r="H61">
        <f>6.26953-5.68359</f>
        <v>0.58594</v>
      </c>
    </row>
    <row r="62" spans="1:35">
      <c r="A62" t="s">
        <v>94</v>
      </c>
      <c r="B62">
        <v>0.996094</v>
      </c>
      <c r="C62">
        <f>1.26563-0.996094</f>
        <v>0.269536</v>
      </c>
      <c r="D62">
        <f>1.61719-1.55859</f>
        <v>0.0586</v>
      </c>
      <c r="E62">
        <f>1.69922-1.61719</f>
        <v>0.08203</v>
      </c>
      <c r="F62">
        <f>2.05078-1.75781</f>
        <v>0.29297</v>
      </c>
      <c r="G62">
        <f>2.20313-2.14453</f>
        <v>0.0585999999999998</v>
      </c>
      <c r="H62">
        <f>2.22656-2.20313</f>
        <v>0.0234300000000003</v>
      </c>
    </row>
    <row r="63" spans="1:35">
      <c r="A63" t="s">
        <v>95</v>
      </c>
      <c r="B63">
        <v>2.05078</v>
      </c>
      <c r="C63">
        <f>2.49609-2.05078</f>
        <v>0.44531</v>
      </c>
      <c r="D63">
        <f>2.57813-2.51953</f>
        <v>0.0585999999999998</v>
      </c>
      <c r="E63">
        <f>2.61328-2.57813</f>
        <v>0.0351500000000002</v>
      </c>
      <c r="F63">
        <f>2.98828-2.61328</f>
        <v>0.375</v>
      </c>
      <c r="G63">
        <f>3.10547-3</f>
        <v>0.10547</v>
      </c>
      <c r="H63">
        <f>3.14063-3.10547</f>
        <v>0.0351599999999999</v>
      </c>
    </row>
    <row r="64" spans="1:35">
      <c r="A64" t="s">
        <v>96</v>
      </c>
      <c r="B64">
        <v>0.855469</v>
      </c>
      <c r="C64">
        <f>1.14844-0.855469</f>
        <v>0.292971</v>
      </c>
      <c r="E64">
        <f>1.32422-1.26563</f>
        <v>0.0585899999999999</v>
      </c>
      <c r="F64">
        <f>1.64063-1.32422</f>
        <v>0.31641</v>
      </c>
      <c r="G64">
        <f>1.75781-1.64063</f>
        <v>0.11718</v>
      </c>
      <c r="H64">
        <f>1.79297-1.75781</f>
        <v>0.0351599999999999</v>
      </c>
    </row>
    <row r="65" spans="1:8">
      <c r="A65" t="s">
        <v>97</v>
      </c>
      <c r="B65">
        <v>0.351563</v>
      </c>
      <c r="C65">
        <f>0.46875-0.351563</f>
        <v>0.117187</v>
      </c>
      <c r="E65">
        <f>0.5625-0.503906</f>
        <v>0.058594</v>
      </c>
      <c r="F65">
        <f>1.20703-0.5625</f>
        <v>0.64453</v>
      </c>
      <c r="G65">
        <f>1.23047-1.20703</f>
        <v>0.0234399999999999</v>
      </c>
      <c r="H65">
        <v>0.01</v>
      </c>
    </row>
    <row r="66" spans="1:8">
      <c r="A66" t="s">
        <v>98</v>
      </c>
      <c r="B66">
        <v>0.644531</v>
      </c>
      <c r="C66">
        <f>0.820313-0.644531</f>
        <v>0.175782</v>
      </c>
      <c r="D66">
        <f>0.9375-0.914063</f>
        <v>0.023437</v>
      </c>
      <c r="E66">
        <f>1.05469-0.9375</f>
        <v>0.11719</v>
      </c>
      <c r="F66">
        <f>1.34766-1.05469</f>
        <v>0.29297</v>
      </c>
      <c r="G66">
        <f>1.44141-1.38281</f>
        <v>0.0586</v>
      </c>
      <c r="H66">
        <f>1.46484-1.44141</f>
        <v>0.0234299999999998</v>
      </c>
    </row>
    <row r="67" spans="1:8">
      <c r="A67" t="s">
        <v>99</v>
      </c>
      <c r="B67">
        <v>0.796875</v>
      </c>
      <c r="C67">
        <f>1.05469-0.796875</f>
        <v>0.257815</v>
      </c>
      <c r="D67">
        <f>1.17188-1.14844</f>
        <v>0.0234400000000001</v>
      </c>
      <c r="E67">
        <f>1.26563-1.17188</f>
        <v>0.09375</v>
      </c>
      <c r="F67">
        <f>1.69922-1.26563</f>
        <v>0.43359</v>
      </c>
      <c r="G67">
        <f>1.75781-1.73438</f>
        <v>0.0234300000000001</v>
      </c>
      <c r="H67">
        <v>0.02431</v>
      </c>
    </row>
    <row r="68" spans="1:8">
      <c r="A68" t="s">
        <v>100</v>
      </c>
      <c r="B68">
        <v>0.351563</v>
      </c>
      <c r="C68">
        <f>0.5625-0.351563</f>
        <v>0.210937</v>
      </c>
      <c r="D68">
        <f>0.644531-0.621094</f>
        <v>0.0234369999999999</v>
      </c>
      <c r="E68">
        <f>0.703125-0.644531</f>
        <v>0.058594</v>
      </c>
      <c r="F68">
        <f>1.73438-0.703125</f>
        <v>1.031255</v>
      </c>
      <c r="G68">
        <f>1.79297-1.73438</f>
        <v>0.0585899999999999</v>
      </c>
      <c r="H68">
        <f>1.81641-1.79297</f>
        <v>0.0234400000000001</v>
      </c>
    </row>
    <row r="69" spans="1:8">
      <c r="A69" t="s">
        <v>101</v>
      </c>
      <c r="B69">
        <v>0.703125</v>
      </c>
      <c r="C69">
        <f>0.9375-0.703125</f>
        <v>0.234375</v>
      </c>
      <c r="E69">
        <f>1.14844-1.03125</f>
        <v>0.11719</v>
      </c>
      <c r="F69">
        <f>2.40234-1.14844</f>
        <v>1.2539</v>
      </c>
      <c r="G69">
        <f>2.46094-2.40234</f>
        <v>0.0585999999999998</v>
      </c>
      <c r="H69">
        <v>0.01</v>
      </c>
    </row>
    <row r="70" spans="1:8">
      <c r="A70" t="s">
        <v>102</v>
      </c>
      <c r="B70">
        <v>0.210938</v>
      </c>
      <c r="C70">
        <f>0.386719-0.210938</f>
        <v>0.175781</v>
      </c>
      <c r="E70">
        <f>0.46875-0.445313</f>
        <v>0.023437</v>
      </c>
      <c r="F70">
        <f>0.621094-0.46875</f>
        <v>0.152344</v>
      </c>
      <c r="G70">
        <f>0.644531-0.621094</f>
        <v>0.0234369999999999</v>
      </c>
      <c r="H70">
        <v>0.01</v>
      </c>
    </row>
    <row r="71" spans="1:8">
      <c r="A71" t="s">
        <v>103</v>
      </c>
      <c r="B71">
        <v>0.234375</v>
      </c>
      <c r="C71">
        <f>0.292969-0.234375</f>
        <v>0.058594</v>
      </c>
      <c r="E71">
        <f>0.445313-0.351563</f>
        <v>0.09375</v>
      </c>
      <c r="F71">
        <f>0.878906-0.445313</f>
        <v>0.433593</v>
      </c>
      <c r="G71">
        <f>0.914063-0.787906</f>
        <v>0.126157</v>
      </c>
      <c r="H71">
        <v>0.12</v>
      </c>
    </row>
    <row r="72" spans="1:8">
      <c r="A72" t="s">
        <v>104</v>
      </c>
      <c r="B72">
        <v>0.175781</v>
      </c>
      <c r="C72">
        <f>0.328125-0.175781</f>
        <v>0.152344</v>
      </c>
      <c r="E72">
        <f>0.46875-0.410156</f>
        <v>0.058594</v>
      </c>
      <c r="F72">
        <f>0.820313-0.46875</f>
        <v>0.351563</v>
      </c>
      <c r="G72">
        <f>0.878906-0.855469</f>
        <v>0.0234369999999999</v>
      </c>
      <c r="H72">
        <v>0.023</v>
      </c>
    </row>
    <row r="73" spans="1:8">
      <c r="A73" t="s">
        <v>105</v>
      </c>
      <c r="B73">
        <v>0.175781</v>
      </c>
      <c r="C73">
        <f>0.445313-0.175781</f>
        <v>0.269532</v>
      </c>
      <c r="E73">
        <f>0.527344-0.503906</f>
        <v>0.0234380000000001</v>
      </c>
      <c r="F73">
        <f>1.08984-0.527344</f>
        <v>0.562496</v>
      </c>
      <c r="G73">
        <f>1.11328-1.08984</f>
        <v>0.0234400000000001</v>
      </c>
      <c r="H73">
        <v>0.01</v>
      </c>
    </row>
    <row r="74" spans="1:8">
      <c r="A74" t="s">
        <v>106</v>
      </c>
      <c r="B74">
        <v>0.410156</v>
      </c>
      <c r="C74">
        <f>0.5625-0.410156</f>
        <v>0.152344</v>
      </c>
      <c r="E74">
        <f>0.679688-0.644531</f>
        <v>0.035157</v>
      </c>
      <c r="F74">
        <f>0.996094-0.679688</f>
        <v>0.316406</v>
      </c>
      <c r="G74">
        <f>1.03125-0.996094</f>
        <v>0.035156</v>
      </c>
      <c r="H74">
        <v>0.015</v>
      </c>
    </row>
    <row r="75" spans="1:8">
      <c r="A75" t="s">
        <v>107</v>
      </c>
      <c r="B75">
        <v>0.269531</v>
      </c>
      <c r="C75">
        <f>0.351563-0.269531</f>
        <v>0.082032</v>
      </c>
      <c r="E75">
        <f>0.445313-0.386719</f>
        <v>0.058594</v>
      </c>
      <c r="F75">
        <f>0.621094-0.445313</f>
        <v>0.175781</v>
      </c>
      <c r="G75">
        <f>0.644531-0.621094</f>
        <v>0.0234369999999999</v>
      </c>
      <c r="H75">
        <v>0.023</v>
      </c>
    </row>
    <row r="76" spans="1:8">
      <c r="A76" t="s">
        <v>108</v>
      </c>
      <c r="B76">
        <v>0.175781</v>
      </c>
      <c r="C76">
        <f>0.445313-0.175781</f>
        <v>0.269532</v>
      </c>
      <c r="E76">
        <f>0.644531-0.5625</f>
        <v>0.082031</v>
      </c>
      <c r="F76">
        <f>1.03125-0.644531</f>
        <v>0.386719</v>
      </c>
      <c r="G76">
        <f>1.05469-1.03125</f>
        <v>0.0234399999999999</v>
      </c>
      <c r="H76">
        <f>1.08984-1.05469</f>
        <v>0.03515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A17" sqref="A17:G17"/>
    </sheetView>
  </sheetViews>
  <sheetFormatPr defaultColWidth="9" defaultRowHeight="14" outlineLevelCol="6"/>
  <sheetData>
    <row r="1" spans="1:7">
      <c r="A1">
        <v>0.58671068497</v>
      </c>
      <c r="B1">
        <v>0.38263593569</v>
      </c>
      <c r="C1">
        <v>0.2550934366</v>
      </c>
      <c r="D1">
        <v>0.1887674554</v>
      </c>
      <c r="E1">
        <v>0.73976252772</v>
      </c>
      <c r="F1">
        <v>1.26525247559</v>
      </c>
      <c r="G1">
        <v>0.80098748403</v>
      </c>
    </row>
    <row r="2" spans="1:7">
      <c r="A2">
        <v>1.09946717244</v>
      </c>
      <c r="B2">
        <v>0.34860991977</v>
      </c>
      <c r="C2">
        <v>0.17162375454</v>
      </c>
      <c r="D2">
        <v>0.18771542202</v>
      </c>
      <c r="E2">
        <v>0.71331150702</v>
      </c>
      <c r="F2">
        <v>1.11019642923</v>
      </c>
      <c r="G2">
        <v>0.80448579498</v>
      </c>
    </row>
    <row r="3" spans="1:7">
      <c r="B3">
        <v>0.33635378544</v>
      </c>
      <c r="C3">
        <v>0.17565179904</v>
      </c>
      <c r="D3">
        <v>0.1607019864</v>
      </c>
      <c r="E3">
        <v>2.05549569888</v>
      </c>
      <c r="F3">
        <v>0.95300496768</v>
      </c>
      <c r="G3">
        <v>0.75492690432</v>
      </c>
    </row>
    <row r="4" spans="1:7">
      <c r="A4">
        <v>1.36909806493</v>
      </c>
      <c r="B4">
        <v>1.918811357</v>
      </c>
      <c r="C4">
        <v>0.39413260189</v>
      </c>
      <c r="D4">
        <v>0.33190204134</v>
      </c>
      <c r="E4">
        <v>1.34835740395</v>
      </c>
      <c r="F4">
        <v>2.28183296742</v>
      </c>
      <c r="G4">
        <v>0.93347556347</v>
      </c>
    </row>
    <row r="5" spans="1:7">
      <c r="A5">
        <v>0.96876054168</v>
      </c>
      <c r="B5">
        <v>0.52205730864</v>
      </c>
      <c r="C5">
        <v>0.161457123</v>
      </c>
      <c r="D5">
        <v>0.21528209856</v>
      </c>
      <c r="E5">
        <v>0.75347844312</v>
      </c>
      <c r="F5">
        <v>1.01181874176</v>
      </c>
      <c r="G5">
        <v>0.81806574324</v>
      </c>
    </row>
    <row r="6" spans="1:7">
      <c r="C6">
        <v>0.546597169002</v>
      </c>
      <c r="D6">
        <v>0.473715436968</v>
      </c>
      <c r="E6">
        <v>2.23194183036</v>
      </c>
      <c r="F6">
        <v>3.39801338004</v>
      </c>
      <c r="G6">
        <v>0.88366218363</v>
      </c>
    </row>
    <row r="7" spans="1:7">
      <c r="B7">
        <v>0.289861727932</v>
      </c>
      <c r="C7">
        <v>0.162322081818</v>
      </c>
      <c r="D7">
        <v>0.14686265329</v>
      </c>
      <c r="E7">
        <v>0.68407523767</v>
      </c>
      <c r="F7">
        <v>1.13239482953</v>
      </c>
      <c r="G7">
        <v>0.78069346976</v>
      </c>
    </row>
    <row r="8" spans="1:7">
      <c r="B8">
        <v>0.42065563894</v>
      </c>
      <c r="C8">
        <v>0.18558547668</v>
      </c>
      <c r="D8">
        <v>0.13609396986</v>
      </c>
      <c r="E8">
        <v>0.70934415822</v>
      </c>
      <c r="F8">
        <v>1.17536445378</v>
      </c>
      <c r="G8">
        <v>0.78357630252</v>
      </c>
    </row>
    <row r="9" spans="1:7">
      <c r="B9">
        <v>0.7669479699</v>
      </c>
      <c r="C9">
        <v>0.22529170944</v>
      </c>
      <c r="D9">
        <v>0.1821536115</v>
      </c>
      <c r="E9">
        <v>0.79091534172</v>
      </c>
      <c r="F9">
        <v>1.1839786539</v>
      </c>
      <c r="G9">
        <v>0.81488271354</v>
      </c>
    </row>
    <row r="10" spans="1:7">
      <c r="B10">
        <v>0.367497124484</v>
      </c>
      <c r="C10">
        <v>0.318499507006</v>
      </c>
      <c r="D10">
        <v>0.23029860864</v>
      </c>
      <c r="E10">
        <v>0.94569040671</v>
      </c>
      <c r="F10">
        <v>1.38179165184</v>
      </c>
      <c r="G10">
        <v>0.80849270132</v>
      </c>
    </row>
    <row r="11" spans="1:7">
      <c r="B11">
        <v>0.51543052351</v>
      </c>
      <c r="C11">
        <v>0.19328422621</v>
      </c>
      <c r="D11">
        <v>0.1589240858</v>
      </c>
      <c r="E11">
        <v>0.70012560266</v>
      </c>
      <c r="F11">
        <v>1.18119243359</v>
      </c>
      <c r="G11">
        <v>0.80321312823</v>
      </c>
    </row>
    <row r="12" spans="1:7">
      <c r="A12">
        <v>0.85701933646</v>
      </c>
      <c r="B12">
        <v>0.36729400134</v>
      </c>
      <c r="C12">
        <v>0.3206511973</v>
      </c>
      <c r="D12">
        <v>0.2157121204</v>
      </c>
      <c r="E12">
        <v>0.84536104618</v>
      </c>
      <c r="F12">
        <v>1.38755350902</v>
      </c>
      <c r="G12">
        <v>0.8278687893</v>
      </c>
    </row>
    <row r="13" spans="1:7">
      <c r="B13">
        <v>0.225654349613</v>
      </c>
      <c r="C13">
        <v>0.141033288137</v>
      </c>
      <c r="D13">
        <v>0.14103510246</v>
      </c>
      <c r="E13">
        <v>0.49518576828</v>
      </c>
      <c r="F13">
        <v>0.86814059605</v>
      </c>
      <c r="G13">
        <v>0.72084089546</v>
      </c>
    </row>
    <row r="14" spans="1:7">
      <c r="B14">
        <v>0.42957099549</v>
      </c>
      <c r="C14">
        <v>0.20307016002</v>
      </c>
      <c r="D14">
        <v>0.12887032977</v>
      </c>
      <c r="E14">
        <v>0.65216725665</v>
      </c>
      <c r="F14">
        <v>1.03487367165</v>
      </c>
      <c r="G14">
        <v>0.78103758642</v>
      </c>
    </row>
    <row r="15" spans="1:7">
      <c r="B15">
        <v>0.247614505866</v>
      </c>
      <c r="C15">
        <v>0.198091163634</v>
      </c>
      <c r="D15">
        <v>0.13333207524</v>
      </c>
      <c r="E15">
        <v>0.69713123844</v>
      </c>
      <c r="F15">
        <v>1.08569458998</v>
      </c>
      <c r="G15">
        <v>0.78855642684</v>
      </c>
    </row>
    <row r="16" spans="1:7">
      <c r="B16">
        <v>0.215441583084</v>
      </c>
      <c r="C16">
        <v>0.176270680656</v>
      </c>
      <c r="D16">
        <v>0.17627197644</v>
      </c>
      <c r="E16">
        <v>0.76383875232</v>
      </c>
      <c r="F16">
        <v>1.1359652409</v>
      </c>
      <c r="G16">
        <v>0.7716717666</v>
      </c>
    </row>
    <row r="17" spans="2:7">
      <c r="B17">
        <v>0.09794490483</v>
      </c>
      <c r="C17">
        <v>0.06215705887</v>
      </c>
      <c r="D17">
        <v>0.0753428336</v>
      </c>
      <c r="E17">
        <v>0.1977733805</v>
      </c>
      <c r="F17">
        <v>0.5029081181</v>
      </c>
      <c r="G17">
        <v>0.6215737041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盛鼎</dc:creator>
  <cp:lastModifiedBy>盛鼎</cp:lastModifiedBy>
  <dcterms:created xsi:type="dcterms:W3CDTF">2023-05-12T11:15:00Z</dcterms:created>
  <dcterms:modified xsi:type="dcterms:W3CDTF">2026-06-22T02:58:34Z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C33975B1915040CBA65F41C65698EEF2_12</vt:lpwstr>
  </property>
  <property fmtid="{D5CDD505-2E9C-101B-9397-08002B2CF9AE}" pid="4" name="CalculationRule">
    <vt:i4>0</vt:i4>
  </property>
</Properties>
</file>